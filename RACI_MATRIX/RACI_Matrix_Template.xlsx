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atha\Downloads\"/>
    </mc:Choice>
  </mc:AlternateContent>
  <xr:revisionPtr revIDLastSave="0" documentId="13_ncr:1_{82CE0689-57BD-49D3-A9E9-8101B2F6DA56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📋 Instructions" sheetId="1" r:id="rId1"/>
    <sheet name="👥 Stakeholders" sheetId="2" r:id="rId2"/>
    <sheet name="🎯 RACI Matrix" sheetId="3" r:id="rId3"/>
    <sheet name="📊 Health Check" sheetId="4" r:id="rId4"/>
    <sheet name="📝 Change Log" sheetId="5" r:id="rId5"/>
  </sheets>
  <definedNames>
    <definedName name="_xlnm._FilterDatabase" localSheetId="2" hidden="1">'🎯 RACI Matrix'!$A$7:$T$59</definedName>
    <definedName name="_xlnm._FilterDatabase" localSheetId="4" hidden="1">'📝 Change Log'!$A$4:$L$79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9" i="5" l="1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F29" i="4"/>
  <c r="E29" i="4"/>
  <c r="D29" i="4"/>
  <c r="C29" i="4"/>
  <c r="F28" i="4"/>
  <c r="E28" i="4"/>
  <c r="D28" i="4"/>
  <c r="C28" i="4"/>
  <c r="F27" i="4"/>
  <c r="E27" i="4"/>
  <c r="D27" i="4"/>
  <c r="C27" i="4"/>
  <c r="F26" i="4"/>
  <c r="E26" i="4"/>
  <c r="D26" i="4"/>
  <c r="C26" i="4"/>
  <c r="F25" i="4"/>
  <c r="E25" i="4"/>
  <c r="D25" i="4"/>
  <c r="C25" i="4"/>
  <c r="F24" i="4"/>
  <c r="E24" i="4"/>
  <c r="D24" i="4"/>
  <c r="C24" i="4"/>
  <c r="F23" i="4"/>
  <c r="E23" i="4"/>
  <c r="D23" i="4"/>
  <c r="C23" i="4"/>
  <c r="F22" i="4"/>
  <c r="E22" i="4"/>
  <c r="D22" i="4"/>
  <c r="C22" i="4"/>
  <c r="F21" i="4"/>
  <c r="E21" i="4"/>
  <c r="D21" i="4"/>
  <c r="C21" i="4"/>
  <c r="F20" i="4"/>
  <c r="E20" i="4"/>
  <c r="D20" i="4"/>
  <c r="C20" i="4"/>
  <c r="F19" i="4"/>
  <c r="E19" i="4"/>
  <c r="D19" i="4"/>
  <c r="C19" i="4"/>
  <c r="F18" i="4"/>
  <c r="E18" i="4"/>
  <c r="D18" i="4"/>
  <c r="C18" i="4"/>
  <c r="F17" i="4"/>
  <c r="E17" i="4"/>
  <c r="D17" i="4"/>
  <c r="C17" i="4"/>
  <c r="C11" i="4"/>
  <c r="T59" i="3"/>
  <c r="T58" i="3"/>
  <c r="T57" i="3"/>
  <c r="T56" i="3"/>
  <c r="T55" i="3"/>
  <c r="T53" i="3"/>
  <c r="T52" i="3"/>
  <c r="T51" i="3"/>
  <c r="T50" i="3"/>
  <c r="T49" i="3"/>
  <c r="T47" i="3"/>
  <c r="T46" i="3"/>
  <c r="T45" i="3"/>
  <c r="T44" i="3"/>
  <c r="T43" i="3"/>
  <c r="T41" i="3"/>
  <c r="T40" i="3"/>
  <c r="T39" i="3"/>
  <c r="T38" i="3"/>
  <c r="T37" i="3"/>
  <c r="T36" i="3"/>
  <c r="T34" i="3"/>
  <c r="T33" i="3"/>
  <c r="T32" i="3"/>
  <c r="T31" i="3"/>
  <c r="T30" i="3"/>
  <c r="T28" i="3"/>
  <c r="T27" i="3"/>
  <c r="T26" i="3"/>
  <c r="T25" i="3"/>
  <c r="T23" i="3"/>
  <c r="T22" i="3"/>
  <c r="T21" i="3"/>
  <c r="T20" i="3"/>
  <c r="T19" i="3"/>
  <c r="T18" i="3"/>
  <c r="T17" i="3"/>
  <c r="T15" i="3"/>
  <c r="T14" i="3"/>
  <c r="T13" i="3"/>
  <c r="T12" i="3"/>
  <c r="T11" i="3"/>
  <c r="T10" i="3"/>
  <c r="T9" i="3"/>
  <c r="H27" i="4" l="1"/>
  <c r="G27" i="4"/>
  <c r="H26" i="4"/>
  <c r="G26" i="4"/>
  <c r="H25" i="4"/>
  <c r="G25" i="4"/>
  <c r="H17" i="4"/>
  <c r="G17" i="4"/>
  <c r="H29" i="4"/>
  <c r="G29" i="4"/>
  <c r="H28" i="4"/>
  <c r="G28" i="4"/>
  <c r="G21" i="4"/>
  <c r="H19" i="4"/>
  <c r="G19" i="4"/>
  <c r="H18" i="4"/>
  <c r="G18" i="4"/>
  <c r="C12" i="4"/>
  <c r="C13" i="4" s="1"/>
  <c r="H24" i="4"/>
  <c r="G24" i="4"/>
  <c r="H23" i="4"/>
  <c r="G23" i="4"/>
  <c r="H22" i="4"/>
  <c r="G22" i="4"/>
  <c r="H21" i="4"/>
  <c r="H20" i="4"/>
  <c r="G20" i="4"/>
  <c r="C8" i="4"/>
  <c r="D8" i="4" s="1"/>
  <c r="C7" i="4"/>
  <c r="D7" i="4" s="1"/>
  <c r="C6" i="4"/>
  <c r="D6" i="4" s="1"/>
</calcChain>
</file>

<file path=xl/sharedStrings.xml><?xml version="1.0" encoding="utf-8"?>
<sst xmlns="http://schemas.openxmlformats.org/spreadsheetml/2006/main" count="951" uniqueCount="416">
  <si>
    <t>RACI RESPONSIBILITY ASSIGNMENT MATRIX  |  Project Governance Tool</t>
  </si>
  <si>
    <t>Version 1.0  |  Last Updated: [Date]  |  Project: [Project Name]  |  Status: [ACTIVE]</t>
  </si>
  <si>
    <t xml:space="preserve">  🎯  PURPOSE OF THIS TEMPLATE</t>
  </si>
  <si>
    <t>Why RACI?</t>
  </si>
  <si>
    <t>Unclear roles cause 40-60% of project delays. This template defines WHO does WHAT, WHO decides, WHO advises, and WHO needs updates — eliminating ambiguity before it derails your project.</t>
  </si>
  <si>
    <t>When to build it?</t>
  </si>
  <si>
    <t>During project INITIATION — before sprint planning, resource allocation, or vendor kick-off. Review at every phase gate and whenever team members change.</t>
  </si>
  <si>
    <t>Golden Rule</t>
  </si>
  <si>
    <t>Every task must have ✅ exactly ONE Accountable (A). Multiple A's = nobody is accountable. Zero A's = no owner. The Health Check tab flags both automatically.</t>
  </si>
  <si>
    <t xml:space="preserve">  📌  RACI DEFINITIONS &amp; USAGE RULES</t>
  </si>
  <si>
    <t>R</t>
  </si>
  <si>
    <t>RESPONSIBLE  —  The person or team who performs the actual work. There can be multiple R's.</t>
  </si>
  <si>
    <t xml:space="preserve">   ▸  Rule:  At least ONE R per task. Tag individuals, not just departments.</t>
  </si>
  <si>
    <t>A</t>
  </si>
  <si>
    <t>ACCOUNTABLE  —  The single owner who approves the outcome and answers for it. The 'buck stops here' role.</t>
  </si>
  <si>
    <t xml:space="preserve">   ▸  Rule:  ⚠️  EXACTLY ONE per task — never zero, never two. Usually a senior role.</t>
  </si>
  <si>
    <t>C</t>
  </si>
  <si>
    <t>CONSULTED  —  Subject matter experts who provide input BEFORE a decision is made. Two-way dialogue.</t>
  </si>
  <si>
    <t xml:space="preserve">   ▸  Rule:  Use sparingly. Too many C's slow decisions. Limit to true SMEs with relevant expertise.</t>
  </si>
  <si>
    <t>I</t>
  </si>
  <si>
    <t>INFORMED  —  Stakeholders who receive updates AFTER decisions/milestones. One-way communication.</t>
  </si>
  <si>
    <t xml:space="preserve">   ▸  Rule:  Prefer I over C when input is not needed. Over-consulting inflates meeting load.</t>
  </si>
  <si>
    <t xml:space="preserve">  🗂️  WORKBOOK STRUCTURE  — 5 SHEETS</t>
  </si>
  <si>
    <t>📋 Instructions</t>
  </si>
  <si>
    <t>This sheet. Read before use.</t>
  </si>
  <si>
    <t>🎯 RACI Matrix</t>
  </si>
  <si>
    <t>MAIN WORKING SHEET. Enter R / A / C / I for each task × stakeholder cell. Use the dropdown.</t>
  </si>
  <si>
    <t>👥 Stakeholders</t>
  </si>
  <si>
    <t>Register all project stakeholders: name, role, department, email. Feed names into the matrix.</t>
  </si>
  <si>
    <t>📊 Health Check</t>
  </si>
  <si>
    <t>Auto-calculated dashboard. Flags missing A, duplicate A, over-consulted roles, orphan tasks.</t>
  </si>
  <si>
    <t>📝 Change Log</t>
  </si>
  <si>
    <t>Record every RACI change: who changed what, when, and why. Audit trail for governance.</t>
  </si>
  <si>
    <t xml:space="preserve">  🚨  COMMON RACI FAILURES &amp; HOW THIS TEMPLATE PREVENTS THEM</t>
  </si>
  <si>
    <t>FAILURE</t>
  </si>
  <si>
    <t>HOW THIS TEMPLATE ADDRESSES IT</t>
  </si>
  <si>
    <t>⚠  Multiple owners = no owner</t>
  </si>
  <si>
    <t>✅  Health Check flags any task with more than one A in red. One A only, enforced visually.</t>
  </si>
  <si>
    <t>⚠  'IT will handle it' ambiguity</t>
  </si>
  <si>
    <t>✅  Stakeholder sheet maps individuals — no department-level assignments allowed.</t>
  </si>
  <si>
    <t>⚠  Vendor accountability gaps</t>
  </si>
  <si>
    <t>✅  Vendor rows included in stakeholder register. Vendor PM must hold A or R on delivery tasks.</t>
  </si>
  <si>
    <t>⚠  Sponsor not looped in</t>
  </si>
  <si>
    <t>✅  Sponsor column pre-built. Health Check warns if Sponsor has zero I assignments.</t>
  </si>
  <si>
    <t>⚠  RACI not updated after change</t>
  </si>
  <si>
    <t>✅  Change Log tab records every update. Version + date tracked in cell B5 of each sheet.</t>
  </si>
  <si>
    <t>⚠  QA/UAT ownership confusion</t>
  </si>
  <si>
    <t>✅  Dedicated phase rows for QA sign-off, UAT approval with explicit A separation.</t>
  </si>
  <si>
    <t>⚠  Data migration nobody owns</t>
  </si>
  <si>
    <t>✅  Data Migration phase pre-populated — the #1 real-world failure scenario.</t>
  </si>
  <si>
    <t>⚠  Too many Consulted = slow</t>
  </si>
  <si>
    <t>✅  Health Check shows Consulted count per role. Flags roles over-burdened with C's.</t>
  </si>
  <si>
    <t>💡  Tip: Use Ctrl+F to search tasks. Freeze panes are set on all working sheets. Filter by phase using the dropdown in column A of the RACI Matrix.</t>
  </si>
  <si>
    <t>👥  STAKEHOLDER REGISTER  — Add all project stakeholders here. Names auto-populate RACI column headers.</t>
  </si>
  <si>
    <t>ID</t>
  </si>
  <si>
    <t>Full Name</t>
  </si>
  <si>
    <t>Role / Title</t>
  </si>
  <si>
    <t>Department</t>
  </si>
  <si>
    <t>Organisation</t>
  </si>
  <si>
    <t>Email</t>
  </si>
  <si>
    <t>Type</t>
  </si>
  <si>
    <t>RACI Code (Default)</t>
  </si>
  <si>
    <t>Notes / Delegation</t>
  </si>
  <si>
    <t>S01</t>
  </si>
  <si>
    <t>[Sponsor Name]</t>
  </si>
  <si>
    <t>Executive Sponsor</t>
  </si>
  <si>
    <t>Executive</t>
  </si>
  <si>
    <t>Internal</t>
  </si>
  <si>
    <t>sponsor@company.com</t>
  </si>
  <si>
    <t>Final approver for scope, budget, go/no-go</t>
  </si>
  <si>
    <t>S02</t>
  </si>
  <si>
    <t>[PM Name]</t>
  </si>
  <si>
    <t>Project Manager</t>
  </si>
  <si>
    <t>PMO</t>
  </si>
  <si>
    <t>pm@company.com</t>
  </si>
  <si>
    <t>Day-to-day RACI owner. Update this register on any change.</t>
  </si>
  <si>
    <t>S03</t>
  </si>
  <si>
    <t>[Tech Lead]</t>
  </si>
  <si>
    <t>Technical Lead / Architect</t>
  </si>
  <si>
    <t>Technology</t>
  </si>
  <si>
    <t>tech@company.com</t>
  </si>
  <si>
    <t>Responsible for architecture decisions and IT delivery</t>
  </si>
  <si>
    <t>S04</t>
  </si>
  <si>
    <t>[Business Analyst]</t>
  </si>
  <si>
    <t>Business Analyst</t>
  </si>
  <si>
    <t>Business</t>
  </si>
  <si>
    <t>ba@company.com</t>
  </si>
  <si>
    <t>Requirements, process mapping, UAT coordination</t>
  </si>
  <si>
    <t>S05</t>
  </si>
  <si>
    <t>[QA Lead]</t>
  </si>
  <si>
    <t>QA / Test Manager</t>
  </si>
  <si>
    <t>Quality</t>
  </si>
  <si>
    <t>qa@company.com</t>
  </si>
  <si>
    <t>Test strategy, defect management, sign-off</t>
  </si>
  <si>
    <t>S06</t>
  </si>
  <si>
    <t>[Finance Lead]</t>
  </si>
  <si>
    <t>Finance Manager</t>
  </si>
  <si>
    <t>Finance</t>
  </si>
  <si>
    <t>finance@company.com</t>
  </si>
  <si>
    <t>Accountable for data accuracy in migration &amp; budget</t>
  </si>
  <si>
    <t>S07</t>
  </si>
  <si>
    <t>[Change Manager]</t>
  </si>
  <si>
    <t>Change &amp; Comms Lead</t>
  </si>
  <si>
    <t>HR / Change</t>
  </si>
  <si>
    <t>change@company.com</t>
  </si>
  <si>
    <t>Training, comms plan, adoption metrics</t>
  </si>
  <si>
    <t>S08</t>
  </si>
  <si>
    <t>[InfoSec]</t>
  </si>
  <si>
    <t>Information Security Officer</t>
  </si>
  <si>
    <t>IT Security</t>
  </si>
  <si>
    <t>infosec@company.com</t>
  </si>
  <si>
    <t>Consulted on security, DPIA, access controls</t>
  </si>
  <si>
    <t>S09</t>
  </si>
  <si>
    <t>[Vendor PM]</t>
  </si>
  <si>
    <t>Vendor Project Manager</t>
  </si>
  <si>
    <t>Vendor</t>
  </si>
  <si>
    <t>External</t>
  </si>
  <si>
    <t>vendor.pm@vendor.com</t>
  </si>
  <si>
    <t>Accountable for vendor deliverables and SLAs</t>
  </si>
  <si>
    <t>S10</t>
  </si>
  <si>
    <t>[Vendor Tech]</t>
  </si>
  <si>
    <t>Vendor Technical Lead</t>
  </si>
  <si>
    <t>vendor.tech@vendor.com</t>
  </si>
  <si>
    <t>Responsible for vendor configuration/build</t>
  </si>
  <si>
    <t>S11</t>
  </si>
  <si>
    <t>[Legal / DPA]</t>
  </si>
  <si>
    <t>Legal / Data Protection</t>
  </si>
  <si>
    <t>Legal</t>
  </si>
  <si>
    <t>legal@company.com</t>
  </si>
  <si>
    <t>Consulted on GDPR/DPA, contracts, compliance</t>
  </si>
  <si>
    <t>S12</t>
  </si>
  <si>
    <t>[End User Rep]</t>
  </si>
  <si>
    <t>Business User Representative</t>
  </si>
  <si>
    <t>Operations</t>
  </si>
  <si>
    <t>user@company.com</t>
  </si>
  <si>
    <t>UAT participant, process validation</t>
  </si>
  <si>
    <t>S13</t>
  </si>
  <si>
    <t>[Steering Comms]</t>
  </si>
  <si>
    <t>Steering Committee</t>
  </si>
  <si>
    <t>steering@company.com</t>
  </si>
  <si>
    <t>Informed at phase gates and escalations</t>
  </si>
  <si>
    <t>S14</t>
  </si>
  <si>
    <t>[3rd Party Audit]</t>
  </si>
  <si>
    <t>External Auditor</t>
  </si>
  <si>
    <t>Audit</t>
  </si>
  <si>
    <t>audit@auditor.com</t>
  </si>
  <si>
    <t>Informed on compliance and controls</t>
  </si>
  <si>
    <t>🎯  RACI RESPONSIBILITY ASSIGNMENT MATRIX</t>
  </si>
  <si>
    <t xml:space="preserve">  Project: [Name]   |   Phase: [Current Phase]   |   Version: 1.0   |   Date: [Date]   |   RAG Status: [🟡 AMBER]</t>
  </si>
  <si>
    <t xml:space="preserve">  LEGEND:</t>
  </si>
  <si>
    <t>Responsible</t>
  </si>
  <si>
    <t>Accountable</t>
  </si>
  <si>
    <t>Consulted</t>
  </si>
  <si>
    <t>Informed</t>
  </si>
  <si>
    <t>⚠ ONE 'A' per row only  |  Every task needs at least one 'R'</t>
  </si>
  <si>
    <t>Phase</t>
  </si>
  <si>
    <t>#</t>
  </si>
  <si>
    <t>Task / Deliverable</t>
  </si>
  <si>
    <t>Priority</t>
  </si>
  <si>
    <t>Description / Acceptance Criteria</t>
  </si>
  <si>
    <t>Sponsor</t>
  </si>
  <si>
    <t>Project
Manager</t>
  </si>
  <si>
    <t>Tech
Lead</t>
  </si>
  <si>
    <t>Business
Analyst</t>
  </si>
  <si>
    <t>QA
Lead</t>
  </si>
  <si>
    <t>Finance
Mgr</t>
  </si>
  <si>
    <t>Change
Mgr</t>
  </si>
  <si>
    <t>InfoSec</t>
  </si>
  <si>
    <t>Vendor
PM</t>
  </si>
  <si>
    <t>Vendor
Tech</t>
  </si>
  <si>
    <t>Legal/
DPA</t>
  </si>
  <si>
    <t>User
Rep</t>
  </si>
  <si>
    <t>Steering
Comm</t>
  </si>
  <si>
    <t>Notes / Escalation Path</t>
  </si>
  <si>
    <t>RACI Status</t>
  </si>
  <si>
    <t xml:space="preserve">  🔵 Initiation</t>
  </si>
  <si>
    <t>🔵 Initiation</t>
  </si>
  <si>
    <t>Project Charter Sign-Off</t>
  </si>
  <si>
    <t>🔴 High</t>
  </si>
  <si>
    <t>Formal approval of project charter, scope, budget, and objectives</t>
  </si>
  <si>
    <t>Sponsor A is non-negotiable. Escalate to Steering if delayed.</t>
  </si>
  <si>
    <t>Stakeholder Register Creation</t>
  </si>
  <si>
    <t>Identify all stakeholders, roles, and communication needs</t>
  </si>
  <si>
    <t>PM owns. Review with Sponsor before circulating.</t>
  </si>
  <si>
    <t>RACI Matrix Agreement</t>
  </si>
  <si>
    <t>Define and obtain sign-off on roles and responsibilities across all phases</t>
  </si>
  <si>
    <t>⚠ This very document. Signed version = project authority.</t>
  </si>
  <si>
    <t>Project Governance Framework</t>
  </si>
  <si>
    <t>Establish steering cadence, escalation path, decision authority levels</t>
  </si>
  <si>
    <t>Governance gaps cause most escalation failures.</t>
  </si>
  <si>
    <t>Budget Baseline &amp; Approval</t>
  </si>
  <si>
    <t>Confirm approved budget, contingency reserve, and change request thresholds</t>
  </si>
  <si>
    <t>Finance co-owns. Document approval thresholds clearly.</t>
  </si>
  <si>
    <t>DPIA / InfoSec Review Initiation</t>
  </si>
  <si>
    <t>🟡 Med</t>
  </si>
  <si>
    <t>Initiate Data Protection Impact Assessment and InfoSec onboarding</t>
  </si>
  <si>
    <t>InfoSec A. Start early — late DPIA = project stop.</t>
  </si>
  <si>
    <t>Vendor Contract / SOW Sign-Off</t>
  </si>
  <si>
    <t>Execute vendor Statement of Work, SLAs, and penalty clauses</t>
  </si>
  <si>
    <t>Legal must review before signature. No verbal agreements.</t>
  </si>
  <si>
    <t xml:space="preserve">  🟣 Planning</t>
  </si>
  <si>
    <t>🟣 Planning</t>
  </si>
  <si>
    <t>Project Plan &amp; Schedule Baseline</t>
  </si>
  <si>
    <t>Develop integrated project schedule with milestones, dependencies, and resources</t>
  </si>
  <si>
    <t>PM owns the baseline. Lock before sprint start.</t>
  </si>
  <si>
    <t>Requirements Sign-Off</t>
  </si>
  <si>
    <t>Business requirements documented, reviewed, baselined, and approved</t>
  </si>
  <si>
    <t>BA leads. Sponsor A. User Rep must validate.</t>
  </si>
  <si>
    <t>Architecture &amp; Solution Design</t>
  </si>
  <si>
    <t>Technical architecture approved, integration points confirmed</t>
  </si>
  <si>
    <t>Tech Lead A. Vendor co-delivers. InfoSec review mandatory.</t>
  </si>
  <si>
    <t>Test Strategy &amp; Plan</t>
  </si>
  <si>
    <t>Define test types, environments, entry/exit criteria, and defect SLAs</t>
  </si>
  <si>
    <t>QA owns fully. Tech Lead consulted on environments.</t>
  </si>
  <si>
    <t>Change Management Plan</t>
  </si>
  <si>
    <t>Stakeholder engagement, training, comms, and resistance management plan</t>
  </si>
  <si>
    <t>Change Mgr A. Sponsor to review tone and messaging.</t>
  </si>
  <si>
    <t>Risk Register Setup</t>
  </si>
  <si>
    <t>Identify, score, assign owners to top 10 risks. Baseline RAID register</t>
  </si>
  <si>
    <t>PM maintains. All leads contribute. Review fortnightly.</t>
  </si>
  <si>
    <t>Data Migration Strategy</t>
  </si>
  <si>
    <t>Define migration approach, data quality rules, rollback plan, and sign-off owner</t>
  </si>
  <si>
    <t>⚠ Finance A for data accuracy. The #1 real-world failure point.</t>
  </si>
  <si>
    <t xml:space="preserve">  🟠 Design</t>
  </si>
  <si>
    <t>🟠 Design</t>
  </si>
  <si>
    <t>UX / UI Design Approval</t>
  </si>
  <si>
    <t>Wireframes, prototypes, and design standards reviewed and approved by business</t>
  </si>
  <si>
    <t>BA/Business owns approval. Vendor delivers.</t>
  </si>
  <si>
    <t>Integration Design Sign-Off</t>
  </si>
  <si>
    <t>API contracts, integration patterns, and data flows approved</t>
  </si>
  <si>
    <t>Tech Lead A. Vendor R. No build without approved design.</t>
  </si>
  <si>
    <t>Security Design Review</t>
  </si>
  <si>
    <t>Security controls, access model, encryption, and audit logging reviewed</t>
  </si>
  <si>
    <t>InfoSec A. Mandatory gate before build commences.</t>
  </si>
  <si>
    <t>Data Model &amp; Dictionary Approval</t>
  </si>
  <si>
    <t>Logical data model, field definitions, and data dictionary reviewed</t>
  </si>
  <si>
    <t>BA leads. Finance consulted for financial data fields.</t>
  </si>
  <si>
    <t xml:space="preserve">  🔨 Build</t>
  </si>
  <si>
    <t>🔨 Build</t>
  </si>
  <si>
    <t>Sprint / Development Execution</t>
  </si>
  <si>
    <t>Agile sprints delivered per plan, code reviewed, and unit tested</t>
  </si>
  <si>
    <t>Vendor PM A for delivery. Tech Lead technical oversight.</t>
  </si>
  <si>
    <t>Infrastructure &amp; Environment Setup</t>
  </si>
  <si>
    <t>Dev, Test, UAT, and Prod environments provisioned and validated</t>
  </si>
  <si>
    <t>Tech Lead A. Vendor delivers. InfoSec reviews prod config.</t>
  </si>
  <si>
    <t>Configuration &amp; Customisation</t>
  </si>
  <si>
    <t>Platform configured per approved design. Deviations logged as change requests</t>
  </si>
  <si>
    <t>Vendor PM A. Every deviation triggers change control.</t>
  </si>
  <si>
    <t>Integration Build &amp; Unit Test</t>
  </si>
  <si>
    <t>APIs built, connected, and unit tested. Results documented</t>
  </si>
  <si>
    <t>Tech Lead A for integration quality.</t>
  </si>
  <si>
    <t>Data Migration Build</t>
  </si>
  <si>
    <t>ETL scripts built, tested in Dev environment, data quality rules applied</t>
  </si>
  <si>
    <t>Finance A for data accuracy. Run multiple dress rehearsals.</t>
  </si>
  <si>
    <t xml:space="preserve">  🧪 Testing</t>
  </si>
  <si>
    <t>🧪 Testing</t>
  </si>
  <si>
    <t>System Integration Testing (SIT)</t>
  </si>
  <si>
    <t>End-to-end system test across all integrated components</t>
  </si>
  <si>
    <t>QA A. Vendor co-responsible. Exit criteria: zero Sev-1 defects.</t>
  </si>
  <si>
    <t>Performance &amp; Load Testing</t>
  </si>
  <si>
    <t>System performance validated against agreed SLAs under peak load</t>
  </si>
  <si>
    <t>Tech Lead A. Define pass criteria before test start.</t>
  </si>
  <si>
    <t>Security Penetration Testing</t>
  </si>
  <si>
    <t>External pen test or InfoSec scan completed and findings remediated</t>
  </si>
  <si>
    <t>InfoSec A. Mandatory gate. No go-live without clear pen test.</t>
  </si>
  <si>
    <t>Defect Management</t>
  </si>
  <si>
    <t>Defects logged, triaged, assigned, tracked to closure. SLA tracked</t>
  </si>
  <si>
    <t>QA owns defect register. Daily triage during SIT/UAT.</t>
  </si>
  <si>
    <t>UAT Planning &amp; Execution</t>
  </si>
  <si>
    <t>Business users execute UAT scenarios. Issues logged and resolved</t>
  </si>
  <si>
    <t>User Rep A for UAT execution. BA coordinates.</t>
  </si>
  <si>
    <t>UAT Sign-Off</t>
  </si>
  <si>
    <t>Formal business sign-off that system meets requirements and is fit for purpose</t>
  </si>
  <si>
    <t>Sponsor A. Non-negotiable gate before go-live decision.</t>
  </si>
  <si>
    <t xml:space="preserve">  📦 Data Migr.</t>
  </si>
  <si>
    <t>📦 Data Migr.</t>
  </si>
  <si>
    <t>Data Cleanse &amp; Extraction</t>
  </si>
  <si>
    <t>Source data extracted, validated, and cleansed per migration rules</t>
  </si>
  <si>
    <t>Finance A. ⚠ The classic failure: 'IT thought business would do this'</t>
  </si>
  <si>
    <t>Data Migration Dry Run #1</t>
  </si>
  <si>
    <t>Full migration rehearsal in UAT environment. Reconciliation report produced</t>
  </si>
  <si>
    <t>Run at least 2 dry runs. Finance signs off reconciliation.</t>
  </si>
  <si>
    <t>Data Migration Dry Run #2</t>
  </si>
  <si>
    <t>Second full rehearsal. Migration window confirmed. Rollback tested</t>
  </si>
  <si>
    <t>Timed run. Confirm cutover window fits maintenance schedule.</t>
  </si>
  <si>
    <t>Data Migration Sign-Off</t>
  </si>
  <si>
    <t>Business confirmation that migrated data is accurate, complete, reconciled</t>
  </si>
  <si>
    <t>Finance A. No go-live without signed reconciliation report.</t>
  </si>
  <si>
    <t>Rollback Plan Approval</t>
  </si>
  <si>
    <t>Tested rollback procedure documented and approved. Trigger criteria defined</t>
  </si>
  <si>
    <t>Sponsor A. Must be executable within agreed RTO window.</t>
  </si>
  <si>
    <t xml:space="preserve">  🚀 Go-Live</t>
  </si>
  <si>
    <t>🚀 Go-Live</t>
  </si>
  <si>
    <t>Go / No-Go Decision</t>
  </si>
  <si>
    <t>Formal go-live decision based on exit criteria: UAT, pen test, data sign-off</t>
  </si>
  <si>
    <t>Sponsor A. All exit criteria must be GREEN. No exceptions.</t>
  </si>
  <si>
    <t>Cutover Execution</t>
  </si>
  <si>
    <t>Production cutover executed per approved plan. Comms sent to stakeholders</t>
  </si>
  <si>
    <t>PM commands the war room. Vendor executes. No partial cutovers.</t>
  </si>
  <si>
    <t>Hypercare Support Activation</t>
  </si>
  <si>
    <t>Hypercare team mobilised. Triage process active. SLA clock starts</t>
  </si>
  <si>
    <t>Min 2-week hypercare. Define Sev-1 response SLA before go-live.</t>
  </si>
  <si>
    <t>User Training Completion</t>
  </si>
  <si>
    <t>All end users trained before go-live. Attendance records signed off</t>
  </si>
  <si>
    <t>Change Mgr A. No training completion = delayed go-live.</t>
  </si>
  <si>
    <t>Post Go-Live Comms</t>
  </si>
  <si>
    <t>Go-live announcement, user guides distributed, helpdesk briefed</t>
  </si>
  <si>
    <t>Change Mgr owns. Sponsor quote in comms adds credibility.</t>
  </si>
  <si>
    <t xml:space="preserve">  📈 Post Go-Live</t>
  </si>
  <si>
    <t>📈 Post Go-Live</t>
  </si>
  <si>
    <t>Hypercare Issue Management</t>
  </si>
  <si>
    <t>Issues triaged, prioritised, and resolved within agreed SLA during hypercare</t>
  </si>
  <si>
    <t>PM commands. Vendor SLA accountability critical here.</t>
  </si>
  <si>
    <t>Benefits Realisation Tracking</t>
  </si>
  <si>
    <t>KPIs measured against baseline. Benefits tracking report produced monthly</t>
  </si>
  <si>
    <t>Sponsor A for benefits. PM coordinates measurement.</t>
  </si>
  <si>
    <t>Lessons Learned Session</t>
  </si>
  <si>
    <t>🟢 Low</t>
  </si>
  <si>
    <t>Structured retrospective: what worked, what failed, RACI improvements</t>
  </si>
  <si>
    <t>All leads must attend. Output feeds next project's charter.</t>
  </si>
  <si>
    <t>Project Closure Report</t>
  </si>
  <si>
    <t>Final report: scope delivered, budget actual vs plan, outstanding risks</t>
  </si>
  <si>
    <t>Sponsor A and sign-off. Archive all documents.</t>
  </si>
  <si>
    <t>Contract Closure &amp; Vendor Sign-Off</t>
  </si>
  <si>
    <t>Vendor deliverables accepted, retention released, warranty confirmed</t>
  </si>
  <si>
    <t>Sponsor A. Legal and Finance involved. Don't rush warranty.</t>
  </si>
  <si>
    <t>📊  RACI HEALTH CHECK DASHBOARD  — Auto-calculated. Review before each phase gate.</t>
  </si>
  <si>
    <t xml:space="preserve">  🔴  CRITICAL CHECKS — Must be zero before phase gate</t>
  </si>
  <si>
    <t>Tasks with MULTIPLE Accountables (A)</t>
  </si>
  <si>
    <t>Every task must have EXACTLY one A. Multiple A = no real owner.</t>
  </si>
  <si>
    <t>Tasks with NO Accountable (A)</t>
  </si>
  <si>
    <t>Unowned tasks slip. Someone must be accountable for every deliverable.</t>
  </si>
  <si>
    <t>Tasks with NO Responsible (R)</t>
  </si>
  <si>
    <t>No R = nobody is doing the work. Always name the doer.</t>
  </si>
  <si>
    <t xml:space="preserve">  📊  SUMMARY METRICS — Overall RACI completeness</t>
  </si>
  <si>
    <t>Total Tasks in Matrix</t>
  </si>
  <si>
    <t>Tasks with valid RACI (✅ OK)</t>
  </si>
  <si>
    <t>RACI Completeness %</t>
  </si>
  <si>
    <t xml:space="preserve">  👥  ROLE WORKLOAD ANALYSIS — Responsibility distribution per stakeholder</t>
  </si>
  <si>
    <t>Stakeholder</t>
  </si>
  <si>
    <t># Responsible (R)</t>
  </si>
  <si>
    <t># Accountable (A)</t>
  </si>
  <si>
    <t># Consulted (C)</t>
  </si>
  <si>
    <t># Informed (I)</t>
  </si>
  <si>
    <t>Total Assignments</t>
  </si>
  <si>
    <t>Workload Flag</t>
  </si>
  <si>
    <t>Tech Lead</t>
  </si>
  <si>
    <t>QA Lead</t>
  </si>
  <si>
    <t>Finance Mgr</t>
  </si>
  <si>
    <t>Change Mgr</t>
  </si>
  <si>
    <t>Vendor PM</t>
  </si>
  <si>
    <t>Vendor Tech</t>
  </si>
  <si>
    <t>Legal/ DPA</t>
  </si>
  <si>
    <t>User Rep</t>
  </si>
  <si>
    <t>Steering Comm</t>
  </si>
  <si>
    <t xml:space="preserve">  📋  PHASE GATE CHECKLIST — Sign before proceeding</t>
  </si>
  <si>
    <t>Phase Gate</t>
  </si>
  <si>
    <t>Criterion 1</t>
  </si>
  <si>
    <t>Criterion 2</t>
  </si>
  <si>
    <t>Criterion 3</t>
  </si>
  <si>
    <t>Status</t>
  </si>
  <si>
    <t>Signed By</t>
  </si>
  <si>
    <t>Date</t>
  </si>
  <si>
    <t>Post-Initiation</t>
  </si>
  <si>
    <t>RACI signed by Sponsor</t>
  </si>
  <si>
    <t>Charter approved</t>
  </si>
  <si>
    <t>Stakeholder Register complete</t>
  </si>
  <si>
    <t>⬜ Not Started</t>
  </si>
  <si>
    <t>Post-Planning</t>
  </si>
  <si>
    <t>Requirements baselined</t>
  </si>
  <si>
    <t>Architecture signed off</t>
  </si>
  <si>
    <t>Risk Register active</t>
  </si>
  <si>
    <t>Post-Design</t>
  </si>
  <si>
    <t>Security review passed</t>
  </si>
  <si>
    <t>Data model approved</t>
  </si>
  <si>
    <t>Migration strategy agreed</t>
  </si>
  <si>
    <t>Post-Build</t>
  </si>
  <si>
    <t>All unit tests passed</t>
  </si>
  <si>
    <t>Code reviewed &amp; approved</t>
  </si>
  <si>
    <t>Environments ready</t>
  </si>
  <si>
    <t>Post-Testing</t>
  </si>
  <si>
    <t>Zero Sev-1 defects</t>
  </si>
  <si>
    <t>UAT sign-off complete</t>
  </si>
  <si>
    <t>Pen test cleared</t>
  </si>
  <si>
    <t>Pre-Go-Live</t>
  </si>
  <si>
    <t>Go/No-Go decision logged</t>
  </si>
  <si>
    <t>Rollback plan approved</t>
  </si>
  <si>
    <t>Hypercare team briefed</t>
  </si>
  <si>
    <t>📝  RACI CHANGE LOG  — Record every change. This is your audit trail and governance evidence.</t>
  </si>
  <si>
    <t>Log ID</t>
  </si>
  <si>
    <t>Version</t>
  </si>
  <si>
    <t>Changed By</t>
  </si>
  <si>
    <t>Task # / Section</t>
  </si>
  <si>
    <t>Stakeholder Affected</t>
  </si>
  <si>
    <t>Change Type</t>
  </si>
  <si>
    <t>Previous RACI Code</t>
  </si>
  <si>
    <t>New RACI Code</t>
  </si>
  <si>
    <t>Reason / Justification</t>
  </si>
  <si>
    <t>Approved By</t>
  </si>
  <si>
    <t>Impact Assessment</t>
  </si>
  <si>
    <t>CL-001</t>
  </si>
  <si>
    <t>2025-01-15</t>
  </si>
  <si>
    <t>1.0</t>
  </si>
  <si>
    <t>Role Added</t>
  </si>
  <si>
    <t>—</t>
  </si>
  <si>
    <t>Finance Director added as Accountable for Data Migration after real-world failure pattern identified</t>
  </si>
  <si>
    <t>Data migration ownership now explicit. Finance Director briefed.</t>
  </si>
  <si>
    <t>CL-002</t>
  </si>
  <si>
    <t>2025-01-20</t>
  </si>
  <si>
    <t>Code Changed</t>
  </si>
  <si>
    <t>User Representative elevated from I to A on UAT execution — business must own sign-off, not observe it</t>
  </si>
  <si>
    <t>UAT accountability strengthened. User Rep confirmed acceptance.</t>
  </si>
  <si>
    <t>CL-003</t>
  </si>
  <si>
    <t>2025-02-01</t>
  </si>
  <si>
    <t>Steering Committee role changed from A to C on Go/No-Go. Sponsor retains A and sole authority</t>
  </si>
  <si>
    <t>Governance simplified. Steering informed post-decision.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</si>
</sst>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 x14ac:knownFonts="1">
    <font>
      <sz val="11"/>
      <color theme="1"/>
      <name val="Calibri"/>
      <family val="2"/>
      <charset val="1"/>
    </font>
    <font>
      <sz val="11"/>
      <color theme="1"/>
      <name val="Cambria"/>
      <family val="1"/>
      <scheme val="major"/>
    </font>
    <font>
      <b/>
      <sz val="16"/>
      <color rgb="FFFFFFFF"/>
      <name val="Cambria"/>
      <family val="1"/>
      <scheme val="major"/>
    </font>
    <font>
      <i/>
      <sz val="9"/>
      <color rgb="FFAABBCC"/>
      <name val="Cambria"/>
      <family val="1"/>
      <scheme val="major"/>
    </font>
    <font>
      <b/>
      <sz val="11"/>
      <color rgb="FFFFFFFF"/>
      <name val="Cambria"/>
      <family val="1"/>
      <scheme val="major"/>
    </font>
    <font>
      <b/>
      <sz val="10"/>
      <color rgb="FF1A3C5E"/>
      <name val="Cambria"/>
      <family val="1"/>
      <scheme val="major"/>
    </font>
    <font>
      <sz val="10"/>
      <color rgb="FF3D4F60"/>
      <name val="Cambria"/>
      <family val="1"/>
      <scheme val="major"/>
    </font>
    <font>
      <b/>
      <sz val="24"/>
      <color rgb="FF1A5276"/>
      <name val="Cambria"/>
      <family val="1"/>
      <scheme val="major"/>
    </font>
    <font>
      <b/>
      <sz val="10"/>
      <color rgb="FF1A5276"/>
      <name val="Cambria"/>
      <family val="1"/>
      <scheme val="major"/>
    </font>
    <font>
      <i/>
      <sz val="9"/>
      <color rgb="FF3D4F60"/>
      <name val="Cambria"/>
      <family val="1"/>
      <scheme val="major"/>
    </font>
    <font>
      <b/>
      <sz val="24"/>
      <color rgb="FF7D4E00"/>
      <name val="Cambria"/>
      <family val="1"/>
      <scheme val="major"/>
    </font>
    <font>
      <b/>
      <sz val="10"/>
      <color rgb="FF7D4E00"/>
      <name val="Cambria"/>
      <family val="1"/>
      <scheme val="major"/>
    </font>
    <font>
      <b/>
      <sz val="24"/>
      <color rgb="FF0D6E6E"/>
      <name val="Cambria"/>
      <family val="1"/>
      <scheme val="major"/>
    </font>
    <font>
      <b/>
      <sz val="10"/>
      <color rgb="FF0D6E6E"/>
      <name val="Cambria"/>
      <family val="1"/>
      <scheme val="major"/>
    </font>
    <font>
      <b/>
      <sz val="24"/>
      <color rgb="FF6C3483"/>
      <name val="Cambria"/>
      <family val="1"/>
      <scheme val="major"/>
    </font>
    <font>
      <b/>
      <sz val="10"/>
      <color rgb="FF6C3483"/>
      <name val="Cambria"/>
      <family val="1"/>
      <scheme val="major"/>
    </font>
    <font>
      <b/>
      <sz val="10"/>
      <color rgb="FFFFFFFF"/>
      <name val="Cambria"/>
      <family val="1"/>
      <scheme val="major"/>
    </font>
    <font>
      <sz val="9"/>
      <color rgb="FFC0392B"/>
      <name val="Cambria"/>
      <family val="1"/>
      <scheme val="major"/>
    </font>
    <font>
      <sz val="9"/>
      <color rgb="FF1E7145"/>
      <name val="Cambria"/>
      <family val="1"/>
      <scheme val="major"/>
    </font>
    <font>
      <i/>
      <sz val="9"/>
      <color rgb="FF0D6E6E"/>
      <name val="Cambria"/>
      <family val="1"/>
      <scheme val="major"/>
    </font>
    <font>
      <b/>
      <sz val="12"/>
      <color rgb="FFFFFFFF"/>
      <name val="Cambria"/>
      <family val="1"/>
      <scheme val="major"/>
    </font>
    <font>
      <b/>
      <sz val="15"/>
      <color rgb="FFFFFFFF"/>
      <name val="Cambria"/>
      <family val="1"/>
      <scheme val="major"/>
    </font>
    <font>
      <i/>
      <sz val="9"/>
      <color rgb="FFBBCCDD"/>
      <name val="Cambria"/>
      <family val="1"/>
      <scheme val="major"/>
    </font>
    <font>
      <b/>
      <sz val="11"/>
      <color rgb="FF1A5276"/>
      <name val="Cambria"/>
      <family val="1"/>
      <scheme val="major"/>
    </font>
    <font>
      <sz val="9"/>
      <color rgb="FF3D4F60"/>
      <name val="Cambria"/>
      <family val="1"/>
      <scheme val="major"/>
    </font>
    <font>
      <b/>
      <sz val="11"/>
      <color rgb="FF7D4E00"/>
      <name val="Cambria"/>
      <family val="1"/>
      <scheme val="major"/>
    </font>
    <font>
      <b/>
      <sz val="11"/>
      <color rgb="FF0D6E6E"/>
      <name val="Cambria"/>
      <family val="1"/>
      <scheme val="major"/>
    </font>
    <font>
      <b/>
      <sz val="11"/>
      <color rgb="FF6C3483"/>
      <name val="Cambria"/>
      <family val="1"/>
      <scheme val="major"/>
    </font>
    <font>
      <i/>
      <sz val="8"/>
      <color rgb="FFC0392B"/>
      <name val="Cambria"/>
      <family val="1"/>
      <scheme val="major"/>
    </font>
    <font>
      <b/>
      <sz val="9"/>
      <color rgb="FFFFFFFF"/>
      <name val="Cambria"/>
      <family val="1"/>
      <scheme val="major"/>
    </font>
    <font>
      <b/>
      <sz val="11"/>
      <color rgb="FF1E40AF"/>
      <name val="Cambria"/>
      <family val="1"/>
      <scheme val="major"/>
    </font>
    <font>
      <i/>
      <sz val="8"/>
      <color rgb="FF888888"/>
      <name val="Cambria"/>
      <family val="1"/>
      <scheme val="major"/>
    </font>
    <font>
      <b/>
      <sz val="9"/>
      <color rgb="FF1A3C5E"/>
      <name val="Cambria"/>
      <family val="1"/>
      <scheme val="major"/>
    </font>
    <font>
      <b/>
      <sz val="9"/>
      <color rgb="FFC0392B"/>
      <name val="Cambria"/>
      <family val="1"/>
      <scheme val="major"/>
    </font>
    <font>
      <b/>
      <sz val="11"/>
      <color rgb="FF8E9BAD"/>
      <name val="Cambria"/>
      <family val="1"/>
      <scheme val="major"/>
    </font>
    <font>
      <i/>
      <sz val="8"/>
      <color rgb="FF8E9BAD"/>
      <name val="Cambria"/>
      <family val="1"/>
      <scheme val="major"/>
    </font>
    <font>
      <b/>
      <sz val="9"/>
      <color rgb="FF000000"/>
      <name val="Cambria"/>
      <family val="1"/>
      <scheme val="major"/>
    </font>
    <font>
      <b/>
      <sz val="9"/>
      <color rgb="FF7D5700"/>
      <name val="Cambria"/>
      <family val="1"/>
      <scheme val="major"/>
    </font>
    <font>
      <b/>
      <sz val="11"/>
      <color rgb="FF5B21B6"/>
      <name val="Cambria"/>
      <family val="1"/>
      <scheme val="major"/>
    </font>
    <font>
      <b/>
      <sz val="11"/>
      <color rgb="FF9A3412"/>
      <name val="Cambria"/>
      <family val="1"/>
      <scheme val="major"/>
    </font>
    <font>
      <b/>
      <sz val="11"/>
      <color rgb="FF78350F"/>
      <name val="Cambria"/>
      <family val="1"/>
      <scheme val="major"/>
    </font>
    <font>
      <b/>
      <sz val="11"/>
      <color rgb="FF065F46"/>
      <name val="Cambria"/>
      <family val="1"/>
      <scheme val="major"/>
    </font>
    <font>
      <b/>
      <sz val="11"/>
      <color rgb="FF831843"/>
      <name val="Cambria"/>
      <family val="1"/>
      <scheme val="major"/>
    </font>
    <font>
      <b/>
      <sz val="11"/>
      <color rgb="FF1E3A8A"/>
      <name val="Cambria"/>
      <family val="1"/>
      <scheme val="major"/>
    </font>
    <font>
      <b/>
      <sz val="11"/>
      <color rgb="FF14532D"/>
      <name val="Cambria"/>
      <family val="1"/>
      <scheme val="major"/>
    </font>
    <font>
      <b/>
      <sz val="9"/>
      <color rgb="FF1E7145"/>
      <name val="Cambria"/>
      <family val="1"/>
      <scheme val="major"/>
    </font>
    <font>
      <sz val="8"/>
      <color rgb="FF3D4F60"/>
      <name val="Cambria"/>
      <family val="1"/>
      <scheme val="major"/>
    </font>
    <font>
      <b/>
      <sz val="8"/>
      <color rgb="FFFFFFFF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14"/>
      <color rgb="FFFFFFFF"/>
      <name val="Cambria"/>
      <family val="1"/>
      <scheme val="major"/>
    </font>
    <font>
      <b/>
      <sz val="10"/>
      <color rgb="FFC0392B"/>
      <name val="Cambria"/>
      <family val="1"/>
      <scheme val="major"/>
    </font>
    <font>
      <b/>
      <sz val="10"/>
      <color rgb="FF000000"/>
      <name val="Cambria"/>
      <family val="1"/>
      <scheme val="major"/>
    </font>
    <font>
      <i/>
      <sz val="9"/>
      <color rgb="FF8E9BAD"/>
      <name val="Cambria"/>
      <family val="1"/>
      <scheme val="major"/>
    </font>
    <font>
      <sz val="10"/>
      <color rgb="FF1A3C5E"/>
      <name val="Cambria"/>
      <family val="1"/>
      <scheme val="major"/>
    </font>
    <font>
      <b/>
      <sz val="13"/>
      <color rgb="FFFFFFFF"/>
      <name val="Cambria"/>
      <family val="1"/>
      <scheme val="major"/>
    </font>
    <font>
      <sz val="9"/>
      <color rgb="FF8E9BAD"/>
      <name val="Cambria"/>
      <family val="1"/>
      <scheme val="major"/>
    </font>
    <font>
      <b/>
      <sz val="22"/>
      <color rgb="FF1A5276"/>
      <name val="Cambria"/>
      <family val="1"/>
      <scheme val="major"/>
    </font>
    <font>
      <sz val="22"/>
      <color theme="1"/>
      <name val="Cambria"/>
      <family val="1"/>
      <scheme val="major"/>
    </font>
    <font>
      <b/>
      <sz val="22"/>
      <color rgb="FF7D4E00"/>
      <name val="Cambria"/>
      <family val="1"/>
      <scheme val="major"/>
    </font>
    <font>
      <b/>
      <sz val="22"/>
      <color rgb="FF0D6E6E"/>
      <name val="Cambria"/>
      <family val="1"/>
      <scheme val="major"/>
    </font>
    <font>
      <b/>
      <sz val="22"/>
      <color rgb="FF6C3483"/>
      <name val="Cambria"/>
      <family val="1"/>
      <scheme val="major"/>
    </font>
  </fonts>
  <fills count="23">
    <fill>
      <patternFill patternType="none"/>
    </fill>
    <fill>
      <patternFill patternType="gray125"/>
    </fill>
    <fill>
      <patternFill patternType="solid">
        <fgColor rgb="FF1A3C5E"/>
        <bgColor rgb="FF1E3A8A"/>
      </patternFill>
    </fill>
    <fill>
      <patternFill patternType="solid">
        <fgColor rgb="FF3D4F60"/>
        <bgColor rgb="FF1A5276"/>
      </patternFill>
    </fill>
    <fill>
      <patternFill patternType="solid">
        <fgColor rgb="FF0D6E6E"/>
        <bgColor rgb="FF1E7145"/>
      </patternFill>
    </fill>
    <fill>
      <patternFill patternType="solid">
        <fgColor rgb="FFD6EAF8"/>
        <bgColor rgb="FFDBEAFE"/>
      </patternFill>
    </fill>
    <fill>
      <patternFill patternType="solid">
        <fgColor rgb="FFFFF3CD"/>
        <bgColor rgb="FFFEF3C7"/>
      </patternFill>
    </fill>
    <fill>
      <patternFill patternType="solid">
        <fgColor rgb="FFE8F8F5"/>
        <bgColor rgb="FFE9F7EF"/>
      </patternFill>
    </fill>
    <fill>
      <patternFill patternType="solid">
        <fgColor rgb="FFF4ECF7"/>
        <bgColor rgb="FFEDE9FE"/>
      </patternFill>
    </fill>
    <fill>
      <patternFill patternType="solid">
        <fgColor rgb="FFC0392B"/>
        <bgColor rgb="FF9A3412"/>
      </patternFill>
    </fill>
    <fill>
      <patternFill patternType="solid">
        <fgColor rgb="FF1E7145"/>
        <bgColor rgb="FF0D6E6E"/>
      </patternFill>
    </fill>
    <fill>
      <patternFill patternType="solid">
        <fgColor rgb="FFFDECEA"/>
        <bgColor rgb="FFFCE7F3"/>
      </patternFill>
    </fill>
    <fill>
      <patternFill patternType="solid">
        <fgColor rgb="FFE9F7EF"/>
        <bgColor rgb="FFE8F8F5"/>
      </patternFill>
    </fill>
    <fill>
      <patternFill patternType="solid">
        <fgColor rgb="FFF5F7FA"/>
        <bgColor rgb="FFFAFBFC"/>
      </patternFill>
    </fill>
    <fill>
      <patternFill patternType="solid">
        <fgColor rgb="FFDBEAFE"/>
        <bgColor rgb="FFD6EAF8"/>
      </patternFill>
    </fill>
    <fill>
      <patternFill patternType="solid">
        <fgColor rgb="FFFAFBFC"/>
        <bgColor rgb="FFF5F7FA"/>
      </patternFill>
    </fill>
    <fill>
      <patternFill patternType="solid">
        <fgColor rgb="FFFFF9E6"/>
        <bgColor rgb="FFFAFBFC"/>
      </patternFill>
    </fill>
    <fill>
      <patternFill patternType="solid">
        <fgColor rgb="FFEDE9FE"/>
        <bgColor rgb="FFF4ECF7"/>
      </patternFill>
    </fill>
    <fill>
      <patternFill patternType="solid">
        <fgColor rgb="FFFFEDD5"/>
        <bgColor rgb="FFFFF3CD"/>
      </patternFill>
    </fill>
    <fill>
      <patternFill patternType="solid">
        <fgColor rgb="FFFEF3C7"/>
        <bgColor rgb="FFFFF3CD"/>
      </patternFill>
    </fill>
    <fill>
      <patternFill patternType="solid">
        <fgColor rgb="FFD1FAE5"/>
        <bgColor rgb="FFE8F8F5"/>
      </patternFill>
    </fill>
    <fill>
      <patternFill patternType="solid">
        <fgColor rgb="FFFCE7F3"/>
        <bgColor rgb="FFFDECEA"/>
      </patternFill>
    </fill>
    <fill>
      <patternFill patternType="solid">
        <fgColor rgb="FFF0FDF4"/>
        <bgColor rgb="FFF5F7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/>
    </xf>
    <xf numFmtId="0" fontId="1" fillId="0" borderId="0" xfId="0" applyFont="1"/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left" vertical="center" wrapText="1"/>
    </xf>
    <xf numFmtId="0" fontId="14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6" fillId="9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0" fontId="17" fillId="11" borderId="0" xfId="0" applyFont="1" applyFill="1" applyAlignment="1">
      <alignment horizontal="left" vertical="center" wrapText="1"/>
    </xf>
    <xf numFmtId="0" fontId="18" fillId="12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2" borderId="0" xfId="0" applyFont="1" applyFill="1" applyAlignment="1">
      <alignment horizontal="left" vertical="center"/>
    </xf>
    <xf numFmtId="0" fontId="16" fillId="4" borderId="1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21" fillId="2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left" vertical="center"/>
    </xf>
    <xf numFmtId="0" fontId="26" fillId="7" borderId="0" xfId="0" applyFont="1" applyFill="1" applyAlignment="1">
      <alignment horizontal="center" vertical="center"/>
    </xf>
    <xf numFmtId="0" fontId="24" fillId="7" borderId="0" xfId="0" applyFont="1" applyFill="1" applyAlignment="1">
      <alignment horizontal="left" vertical="center"/>
    </xf>
    <xf numFmtId="0" fontId="27" fillId="8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6" fillId="4" borderId="3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30" fillId="14" borderId="1" xfId="0" applyFont="1" applyFill="1" applyBorder="1" applyAlignment="1">
      <alignment horizontal="left" vertical="center"/>
    </xf>
    <xf numFmtId="0" fontId="31" fillId="14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 wrapText="1"/>
    </xf>
    <xf numFmtId="0" fontId="33" fillId="11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35" fillId="15" borderId="2" xfId="0" applyFont="1" applyFill="1" applyBorder="1" applyAlignment="1">
      <alignment horizontal="left" vertical="center" wrapText="1"/>
    </xf>
    <xf numFmtId="0" fontId="36" fillId="0" borderId="2" xfId="0" applyFont="1" applyBorder="1" applyAlignment="1">
      <alignment horizontal="center" vertical="center"/>
    </xf>
    <xf numFmtId="0" fontId="37" fillId="16" borderId="2" xfId="0" applyFont="1" applyFill="1" applyBorder="1" applyAlignment="1">
      <alignment horizontal="center" vertical="center"/>
    </xf>
    <xf numFmtId="0" fontId="38" fillId="17" borderId="1" xfId="0" applyFont="1" applyFill="1" applyBorder="1" applyAlignment="1">
      <alignment horizontal="left" vertical="center"/>
    </xf>
    <xf numFmtId="0" fontId="31" fillId="17" borderId="2" xfId="0" applyFont="1" applyFill="1" applyBorder="1" applyAlignment="1">
      <alignment horizontal="left" vertical="center"/>
    </xf>
    <xf numFmtId="0" fontId="39" fillId="18" borderId="1" xfId="0" applyFont="1" applyFill="1" applyBorder="1" applyAlignment="1">
      <alignment horizontal="left" vertical="center"/>
    </xf>
    <xf numFmtId="0" fontId="31" fillId="18" borderId="2" xfId="0" applyFont="1" applyFill="1" applyBorder="1" applyAlignment="1">
      <alignment horizontal="left" vertical="center"/>
    </xf>
    <xf numFmtId="0" fontId="40" fillId="19" borderId="1" xfId="0" applyFont="1" applyFill="1" applyBorder="1" applyAlignment="1">
      <alignment horizontal="left" vertical="center"/>
    </xf>
    <xf numFmtId="0" fontId="31" fillId="19" borderId="2" xfId="0" applyFont="1" applyFill="1" applyBorder="1" applyAlignment="1">
      <alignment horizontal="left" vertical="center"/>
    </xf>
    <xf numFmtId="0" fontId="41" fillId="20" borderId="1" xfId="0" applyFont="1" applyFill="1" applyBorder="1" applyAlignment="1">
      <alignment horizontal="left" vertical="center"/>
    </xf>
    <xf numFmtId="0" fontId="31" fillId="20" borderId="2" xfId="0" applyFont="1" applyFill="1" applyBorder="1" applyAlignment="1">
      <alignment horizontal="left" vertical="center"/>
    </xf>
    <xf numFmtId="0" fontId="42" fillId="21" borderId="1" xfId="0" applyFont="1" applyFill="1" applyBorder="1" applyAlignment="1">
      <alignment horizontal="left" vertical="center"/>
    </xf>
    <xf numFmtId="0" fontId="31" fillId="21" borderId="2" xfId="0" applyFont="1" applyFill="1" applyBorder="1" applyAlignment="1">
      <alignment horizontal="left" vertical="center"/>
    </xf>
    <xf numFmtId="0" fontId="43" fillId="14" borderId="1" xfId="0" applyFont="1" applyFill="1" applyBorder="1" applyAlignment="1">
      <alignment horizontal="left" vertical="center"/>
    </xf>
    <xf numFmtId="0" fontId="44" fillId="22" borderId="1" xfId="0" applyFont="1" applyFill="1" applyBorder="1" applyAlignment="1">
      <alignment horizontal="left" vertical="center"/>
    </xf>
    <xf numFmtId="0" fontId="31" fillId="22" borderId="2" xfId="0" applyFont="1" applyFill="1" applyBorder="1" applyAlignment="1">
      <alignment horizontal="left" vertical="center"/>
    </xf>
    <xf numFmtId="0" fontId="45" fillId="12" borderId="2" xfId="0" applyFont="1" applyFill="1" applyBorder="1" applyAlignment="1">
      <alignment horizontal="center" vertical="center"/>
    </xf>
    <xf numFmtId="0" fontId="32" fillId="14" borderId="2" xfId="0" applyNumberFormat="1" applyFont="1" applyFill="1" applyBorder="1" applyAlignment="1">
      <alignment horizontal="center" vertical="center"/>
    </xf>
    <xf numFmtId="0" fontId="32" fillId="17" borderId="2" xfId="0" applyNumberFormat="1" applyFont="1" applyFill="1" applyBorder="1" applyAlignment="1">
      <alignment horizontal="center" vertical="center"/>
    </xf>
    <xf numFmtId="0" fontId="32" fillId="18" borderId="2" xfId="0" applyNumberFormat="1" applyFont="1" applyFill="1" applyBorder="1" applyAlignment="1">
      <alignment horizontal="center" vertical="center"/>
    </xf>
    <xf numFmtId="0" fontId="32" fillId="19" borderId="2" xfId="0" applyNumberFormat="1" applyFont="1" applyFill="1" applyBorder="1" applyAlignment="1">
      <alignment horizontal="center" vertical="center"/>
    </xf>
    <xf numFmtId="0" fontId="32" fillId="20" borderId="2" xfId="0" applyNumberFormat="1" applyFont="1" applyFill="1" applyBorder="1" applyAlignment="1">
      <alignment horizontal="center" vertical="center"/>
    </xf>
    <xf numFmtId="0" fontId="32" fillId="21" borderId="2" xfId="0" applyNumberFormat="1" applyFont="1" applyFill="1" applyBorder="1" applyAlignment="1">
      <alignment horizontal="center" vertical="center"/>
    </xf>
    <xf numFmtId="0" fontId="32" fillId="22" borderId="2" xfId="0" applyNumberFormat="1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textRotation="75" wrapText="1"/>
    </xf>
    <xf numFmtId="0" fontId="46" fillId="5" borderId="0" xfId="0" applyFont="1" applyFill="1" applyAlignment="1">
      <alignment horizontal="left" vertical="center"/>
    </xf>
    <xf numFmtId="0" fontId="47" fillId="4" borderId="3" xfId="0" applyFont="1" applyFill="1" applyBorder="1" applyAlignment="1">
      <alignment horizontal="center" vertical="center" wrapText="1"/>
    </xf>
    <xf numFmtId="0" fontId="46" fillId="13" borderId="2" xfId="0" applyFont="1" applyFill="1" applyBorder="1" applyAlignment="1">
      <alignment horizontal="left" vertical="center" wrapText="1"/>
    </xf>
    <xf numFmtId="0" fontId="48" fillId="0" borderId="0" xfId="0" applyFont="1"/>
    <xf numFmtId="0" fontId="49" fillId="2" borderId="0" xfId="0" applyFont="1" applyFill="1" applyAlignment="1">
      <alignment horizontal="left" vertical="center"/>
    </xf>
    <xf numFmtId="0" fontId="50" fillId="0" borderId="2" xfId="0" applyFont="1" applyBorder="1"/>
    <xf numFmtId="0" fontId="50" fillId="0" borderId="2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left" vertical="center"/>
    </xf>
    <xf numFmtId="0" fontId="53" fillId="0" borderId="2" xfId="0" applyFont="1" applyBorder="1"/>
    <xf numFmtId="0" fontId="13" fillId="0" borderId="2" xfId="0" applyFont="1" applyBorder="1" applyAlignment="1">
      <alignment horizontal="center" vertical="center"/>
    </xf>
    <xf numFmtId="9" fontId="13" fillId="0" borderId="2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54" fillId="2" borderId="0" xfId="0" applyFont="1" applyFill="1" applyAlignment="1">
      <alignment horizontal="left" vertical="center"/>
    </xf>
    <xf numFmtId="0" fontId="55" fillId="0" borderId="2" xfId="0" applyFont="1" applyBorder="1" applyAlignment="1">
      <alignment horizontal="center" vertical="center"/>
    </xf>
    <xf numFmtId="0" fontId="55" fillId="13" borderId="2" xfId="0" applyFont="1" applyFill="1" applyBorder="1" applyAlignment="1">
      <alignment horizontal="center" vertical="center"/>
    </xf>
    <xf numFmtId="0" fontId="1" fillId="0" borderId="2" xfId="0" applyFont="1" applyBorder="1"/>
    <xf numFmtId="0" fontId="56" fillId="5" borderId="0" xfId="0" applyFont="1" applyFill="1" applyAlignment="1">
      <alignment horizontal="center" vertical="center"/>
    </xf>
    <xf numFmtId="0" fontId="57" fillId="0" borderId="0" xfId="0" applyFont="1"/>
    <xf numFmtId="0" fontId="58" fillId="6" borderId="0" xfId="0" applyFont="1" applyFill="1" applyAlignment="1">
      <alignment horizontal="center" vertical="center"/>
    </xf>
    <xf numFmtId="0" fontId="59" fillId="7" borderId="0" xfId="0" applyFont="1" applyFill="1" applyAlignment="1">
      <alignment horizontal="center" vertical="center"/>
    </xf>
    <xf numFmtId="0" fontId="60" fillId="8" borderId="0" xfId="0" applyFont="1" applyFill="1" applyAlignment="1">
      <alignment horizontal="center" vertical="center"/>
    </xf>
    <xf numFmtId="0" fontId="24" fillId="13" borderId="2" xfId="0" applyNumberFormat="1" applyFont="1" applyFill="1" applyBorder="1" applyAlignment="1">
      <alignment horizontal="left" vertical="center" wrapText="1"/>
    </xf>
    <xf numFmtId="0" fontId="24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9E6"/>
      <rgbColor rgb="FFFF00FF"/>
      <rgbColor rgb="FFFAFBFC"/>
      <rgbColor rgb="FF7D4E00"/>
      <rgbColor rgb="FF065F46"/>
      <rgbColor rgb="FF000080"/>
      <rgbColor rgb="FF7D5700"/>
      <rgbColor rgb="FF5B21B6"/>
      <rgbColor rgb="FF0D6E6E"/>
      <rgbColor rgb="FFAABBCC"/>
      <rgbColor rgb="FF888888"/>
      <rgbColor rgb="FFEDE9FE"/>
      <rgbColor rgb="FF6C3483"/>
      <rgbColor rgb="FFFFF3CD"/>
      <rgbColor rgb="FFE8F8F5"/>
      <rgbColor rgb="FF660066"/>
      <rgbColor rgb="FFF5F7FA"/>
      <rgbColor rgb="FF1E40AF"/>
      <rgbColor rgb="FFBBCCDD"/>
      <rgbColor rgb="FF000080"/>
      <rgbColor rgb="FFFF00FF"/>
      <rgbColor rgb="FFFDECEA"/>
      <rgbColor rgb="FF00FFFF"/>
      <rgbColor rgb="FF800080"/>
      <rgbColor rgb="FF800000"/>
      <rgbColor rgb="FF1E7145"/>
      <rgbColor rgb="FF0000FF"/>
      <rgbColor rgb="FF00CCFF"/>
      <rgbColor rgb="FFD6EAF8"/>
      <rgbColor rgb="FFD1FAE5"/>
      <rgbColor rgb="FFFEF3C7"/>
      <rgbColor rgb="FFD9DEE4"/>
      <rgbColor rgb="FFFCE7F3"/>
      <rgbColor rgb="FFDBEAFE"/>
      <rgbColor rgb="FFFFEDD5"/>
      <rgbColor rgb="FF3366FF"/>
      <rgbColor rgb="FFF0FDF4"/>
      <rgbColor rgb="FFE9F7EF"/>
      <rgbColor rgb="FFF4ECF7"/>
      <rgbColor rgb="FFE8A020"/>
      <rgbColor rgb="FFC0392B"/>
      <rgbColor rgb="FF1A5276"/>
      <rgbColor rgb="FF8E9BAD"/>
      <rgbColor rgb="FF1A3C5E"/>
      <rgbColor rgb="FF339966"/>
      <rgbColor rgb="FF14532D"/>
      <rgbColor rgb="FF78350F"/>
      <rgbColor rgb="FF9A3412"/>
      <rgbColor rgb="FF831843"/>
      <rgbColor rgb="FF1E3A8A"/>
      <rgbColor rgb="FF3D4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C5E"/>
  </sheetPr>
  <dimension ref="B1:F47"/>
  <sheetViews>
    <sheetView showGridLines="0" topLeftCell="A25" zoomScaleNormal="100" workbookViewId="0">
      <selection activeCell="C38" sqref="C38:F38"/>
    </sheetView>
  </sheetViews>
  <sheetFormatPr defaultColWidth="8.6640625" defaultRowHeight="13.8" x14ac:dyDescent="0.25"/>
  <cols>
    <col min="1" max="1" width="3" style="3" customWidth="1"/>
    <col min="2" max="2" width="24" style="3" bestFit="1" customWidth="1"/>
    <col min="3" max="3" width="60" style="3" customWidth="1"/>
    <col min="4" max="5" width="20" style="3" customWidth="1"/>
    <col min="6" max="6" width="14.5546875" style="3" customWidth="1"/>
    <col min="7" max="16384" width="8.6640625" style="3"/>
  </cols>
  <sheetData>
    <row r="1" spans="2:6" ht="9.75" customHeight="1" x14ac:dyDescent="0.25">
      <c r="B1" s="2" t="s">
        <v>0</v>
      </c>
      <c r="C1" s="2"/>
      <c r="D1" s="2"/>
      <c r="E1" s="2"/>
      <c r="F1" s="2"/>
    </row>
    <row r="2" spans="2:6" ht="21.75" customHeight="1" x14ac:dyDescent="0.25">
      <c r="B2" s="2"/>
      <c r="C2" s="2"/>
      <c r="D2" s="2"/>
      <c r="E2" s="2"/>
      <c r="F2" s="2"/>
    </row>
    <row r="3" spans="2:6" ht="21.75" customHeight="1" x14ac:dyDescent="0.25">
      <c r="B3" s="2"/>
      <c r="C3" s="2"/>
      <c r="D3" s="2"/>
      <c r="E3" s="2"/>
      <c r="F3" s="2"/>
    </row>
    <row r="4" spans="2:6" ht="9.75" customHeight="1" x14ac:dyDescent="0.25">
      <c r="B4" s="2"/>
      <c r="C4" s="2"/>
      <c r="D4" s="2"/>
      <c r="E4" s="2"/>
      <c r="F4" s="2"/>
    </row>
    <row r="5" spans="2:6" x14ac:dyDescent="0.25">
      <c r="B5" s="4" t="s">
        <v>1</v>
      </c>
      <c r="C5" s="4"/>
      <c r="D5" s="4"/>
      <c r="E5" s="4"/>
      <c r="F5" s="4"/>
    </row>
    <row r="6" spans="2:6" ht="6" customHeight="1" x14ac:dyDescent="0.25"/>
    <row r="7" spans="2:6" ht="19.5" customHeight="1" x14ac:dyDescent="0.25">
      <c r="B7" s="5" t="s">
        <v>2</v>
      </c>
      <c r="C7" s="5"/>
      <c r="D7" s="5"/>
      <c r="E7" s="5"/>
      <c r="F7" s="5"/>
    </row>
    <row r="8" spans="2:6" ht="40.200000000000003" customHeight="1" x14ac:dyDescent="0.25">
      <c r="B8" s="6" t="s">
        <v>3</v>
      </c>
      <c r="C8" s="7" t="s">
        <v>4</v>
      </c>
      <c r="D8" s="7"/>
      <c r="E8" s="7"/>
      <c r="F8" s="7"/>
    </row>
    <row r="9" spans="2:6" ht="40.200000000000003" customHeight="1" x14ac:dyDescent="0.25">
      <c r="B9" s="6" t="s">
        <v>5</v>
      </c>
      <c r="C9" s="7" t="s">
        <v>6</v>
      </c>
      <c r="D9" s="7"/>
      <c r="E9" s="7"/>
      <c r="F9" s="7"/>
    </row>
    <row r="10" spans="2:6" ht="40.200000000000003" customHeight="1" x14ac:dyDescent="0.25">
      <c r="B10" s="6" t="s">
        <v>7</v>
      </c>
      <c r="C10" s="7" t="s">
        <v>8</v>
      </c>
      <c r="D10" s="7"/>
      <c r="E10" s="7"/>
      <c r="F10" s="7"/>
    </row>
    <row r="11" spans="2:6" ht="6" customHeight="1" x14ac:dyDescent="0.25"/>
    <row r="12" spans="2:6" ht="19.5" customHeight="1" x14ac:dyDescent="0.25">
      <c r="B12" s="5" t="s">
        <v>9</v>
      </c>
      <c r="C12" s="5"/>
      <c r="D12" s="5"/>
      <c r="E12" s="5"/>
      <c r="F12" s="5"/>
    </row>
    <row r="13" spans="2:6" ht="15.6" customHeight="1" x14ac:dyDescent="0.25">
      <c r="B13" s="98" t="s">
        <v>10</v>
      </c>
      <c r="C13" s="9" t="s">
        <v>11</v>
      </c>
      <c r="D13" s="9"/>
      <c r="E13" s="9"/>
      <c r="F13" s="9"/>
    </row>
    <row r="14" spans="2:6" ht="7.8" customHeight="1" x14ac:dyDescent="0.25">
      <c r="B14" s="98"/>
      <c r="C14" s="10" t="s">
        <v>12</v>
      </c>
      <c r="D14" s="10"/>
      <c r="E14" s="10"/>
      <c r="F14" s="10"/>
    </row>
    <row r="15" spans="2:6" ht="7.8" customHeight="1" x14ac:dyDescent="0.25">
      <c r="B15" s="98"/>
      <c r="C15" s="8"/>
      <c r="D15" s="10"/>
      <c r="E15" s="10"/>
      <c r="F15" s="10"/>
    </row>
    <row r="16" spans="2:6" ht="7.8" customHeight="1" x14ac:dyDescent="0.45">
      <c r="B16" s="99"/>
    </row>
    <row r="17" spans="2:6" ht="15.6" customHeight="1" x14ac:dyDescent="0.25">
      <c r="B17" s="100" t="s">
        <v>13</v>
      </c>
      <c r="C17" s="12" t="s">
        <v>14</v>
      </c>
      <c r="D17" s="12"/>
      <c r="E17" s="12"/>
      <c r="F17" s="12"/>
    </row>
    <row r="18" spans="2:6" ht="7.8" customHeight="1" x14ac:dyDescent="0.25">
      <c r="B18" s="100"/>
      <c r="C18" s="10" t="s">
        <v>15</v>
      </c>
      <c r="D18" s="10"/>
      <c r="E18" s="10"/>
      <c r="F18" s="10"/>
    </row>
    <row r="19" spans="2:6" ht="7.8" customHeight="1" x14ac:dyDescent="0.25">
      <c r="B19" s="100"/>
      <c r="C19" s="11"/>
      <c r="D19" s="10"/>
      <c r="E19" s="10"/>
      <c r="F19" s="10"/>
    </row>
    <row r="20" spans="2:6" ht="7.8" customHeight="1" x14ac:dyDescent="0.45">
      <c r="B20" s="99"/>
    </row>
    <row r="21" spans="2:6" ht="15.6" customHeight="1" x14ac:dyDescent="0.25">
      <c r="B21" s="101" t="s">
        <v>16</v>
      </c>
      <c r="C21" s="14" t="s">
        <v>17</v>
      </c>
      <c r="D21" s="14"/>
      <c r="E21" s="14"/>
      <c r="F21" s="14"/>
    </row>
    <row r="22" spans="2:6" ht="7.8" customHeight="1" x14ac:dyDescent="0.25">
      <c r="B22" s="101"/>
      <c r="C22" s="10" t="s">
        <v>18</v>
      </c>
      <c r="D22" s="10"/>
      <c r="E22" s="10"/>
      <c r="F22" s="10"/>
    </row>
    <row r="23" spans="2:6" ht="7.8" customHeight="1" x14ac:dyDescent="0.25">
      <c r="B23" s="101"/>
      <c r="C23" s="13"/>
      <c r="D23" s="10"/>
      <c r="E23" s="10"/>
      <c r="F23" s="10"/>
    </row>
    <row r="24" spans="2:6" ht="7.8" customHeight="1" x14ac:dyDescent="0.45">
      <c r="B24" s="99"/>
    </row>
    <row r="25" spans="2:6" ht="15.6" customHeight="1" x14ac:dyDescent="0.25">
      <c r="B25" s="102" t="s">
        <v>19</v>
      </c>
      <c r="C25" s="16" t="s">
        <v>20</v>
      </c>
      <c r="D25" s="16"/>
      <c r="E25" s="16"/>
      <c r="F25" s="16"/>
    </row>
    <row r="26" spans="2:6" ht="7.8" customHeight="1" x14ac:dyDescent="0.25">
      <c r="B26" s="102"/>
      <c r="C26" s="10" t="s">
        <v>21</v>
      </c>
      <c r="D26" s="10"/>
      <c r="E26" s="10"/>
      <c r="F26" s="10"/>
    </row>
    <row r="27" spans="2:6" ht="7.8" customHeight="1" x14ac:dyDescent="0.25">
      <c r="B27" s="102"/>
      <c r="C27" s="15"/>
      <c r="D27" s="10"/>
      <c r="E27" s="10"/>
      <c r="F27" s="10"/>
    </row>
    <row r="28" spans="2:6" ht="6" customHeight="1" x14ac:dyDescent="0.25"/>
    <row r="29" spans="2:6" ht="19.5" customHeight="1" x14ac:dyDescent="0.25">
      <c r="B29" s="5" t="s">
        <v>22</v>
      </c>
      <c r="C29" s="5"/>
      <c r="D29" s="5"/>
      <c r="E29" s="5"/>
      <c r="F29" s="5"/>
    </row>
    <row r="30" spans="2:6" ht="15.75" customHeight="1" x14ac:dyDescent="0.25">
      <c r="B30" s="17" t="s">
        <v>23</v>
      </c>
      <c r="C30" s="7" t="s">
        <v>24</v>
      </c>
      <c r="D30" s="7"/>
      <c r="E30" s="7"/>
      <c r="F30" s="7"/>
    </row>
    <row r="31" spans="2:6" ht="15.75" customHeight="1" x14ac:dyDescent="0.25">
      <c r="B31" s="17" t="s">
        <v>25</v>
      </c>
      <c r="C31" s="7" t="s">
        <v>26</v>
      </c>
      <c r="D31" s="7"/>
      <c r="E31" s="7"/>
      <c r="F31" s="7"/>
    </row>
    <row r="32" spans="2:6" ht="15.75" customHeight="1" x14ac:dyDescent="0.25">
      <c r="B32" s="17" t="s">
        <v>27</v>
      </c>
      <c r="C32" s="7" t="s">
        <v>28</v>
      </c>
      <c r="D32" s="7"/>
      <c r="E32" s="7"/>
      <c r="F32" s="7"/>
    </row>
    <row r="33" spans="2:6" ht="15.75" customHeight="1" x14ac:dyDescent="0.25">
      <c r="B33" s="17" t="s">
        <v>29</v>
      </c>
      <c r="C33" s="7" t="s">
        <v>30</v>
      </c>
      <c r="D33" s="7"/>
      <c r="E33" s="7"/>
      <c r="F33" s="7"/>
    </row>
    <row r="34" spans="2:6" ht="15.75" customHeight="1" x14ac:dyDescent="0.25">
      <c r="B34" s="17" t="s">
        <v>31</v>
      </c>
      <c r="C34" s="7" t="s">
        <v>32</v>
      </c>
      <c r="D34" s="7"/>
      <c r="E34" s="7"/>
      <c r="F34" s="7"/>
    </row>
    <row r="35" spans="2:6" ht="6" customHeight="1" x14ac:dyDescent="0.25"/>
    <row r="36" spans="2:6" ht="19.5" customHeight="1" x14ac:dyDescent="0.25">
      <c r="B36" s="5" t="s">
        <v>33</v>
      </c>
      <c r="C36" s="5"/>
      <c r="D36" s="5"/>
      <c r="E36" s="5"/>
      <c r="F36" s="5"/>
    </row>
    <row r="37" spans="2:6" ht="15.75" customHeight="1" x14ac:dyDescent="0.25">
      <c r="B37" s="18" t="s">
        <v>34</v>
      </c>
      <c r="C37" s="19" t="s">
        <v>35</v>
      </c>
      <c r="D37" s="19"/>
      <c r="E37" s="19"/>
      <c r="F37" s="19"/>
    </row>
    <row r="38" spans="2:6" ht="19.5" customHeight="1" x14ac:dyDescent="0.25">
      <c r="B38" s="20" t="s">
        <v>36</v>
      </c>
      <c r="C38" s="21" t="s">
        <v>37</v>
      </c>
      <c r="D38" s="21"/>
      <c r="E38" s="21"/>
      <c r="F38" s="21"/>
    </row>
    <row r="39" spans="2:6" ht="19.5" customHeight="1" x14ac:dyDescent="0.25">
      <c r="B39" s="20" t="s">
        <v>38</v>
      </c>
      <c r="C39" s="21" t="s">
        <v>39</v>
      </c>
      <c r="D39" s="21"/>
      <c r="E39" s="21"/>
      <c r="F39" s="21"/>
    </row>
    <row r="40" spans="2:6" ht="19.5" customHeight="1" x14ac:dyDescent="0.25">
      <c r="B40" s="20" t="s">
        <v>40</v>
      </c>
      <c r="C40" s="21" t="s">
        <v>41</v>
      </c>
      <c r="D40" s="21"/>
      <c r="E40" s="21"/>
      <c r="F40" s="21"/>
    </row>
    <row r="41" spans="2:6" ht="19.5" customHeight="1" x14ac:dyDescent="0.25">
      <c r="B41" s="20" t="s">
        <v>42</v>
      </c>
      <c r="C41" s="21" t="s">
        <v>43</v>
      </c>
      <c r="D41" s="21"/>
      <c r="E41" s="21"/>
      <c r="F41" s="21"/>
    </row>
    <row r="42" spans="2:6" ht="19.5" customHeight="1" x14ac:dyDescent="0.25">
      <c r="B42" s="20" t="s">
        <v>44</v>
      </c>
      <c r="C42" s="21" t="s">
        <v>45</v>
      </c>
      <c r="D42" s="21"/>
      <c r="E42" s="21"/>
      <c r="F42" s="21"/>
    </row>
    <row r="43" spans="2:6" ht="19.5" customHeight="1" x14ac:dyDescent="0.25">
      <c r="B43" s="20" t="s">
        <v>46</v>
      </c>
      <c r="C43" s="21" t="s">
        <v>47</v>
      </c>
      <c r="D43" s="21"/>
      <c r="E43" s="21"/>
      <c r="F43" s="21"/>
    </row>
    <row r="44" spans="2:6" ht="19.5" customHeight="1" x14ac:dyDescent="0.25">
      <c r="B44" s="20" t="s">
        <v>48</v>
      </c>
      <c r="C44" s="21" t="s">
        <v>49</v>
      </c>
      <c r="D44" s="21"/>
      <c r="E44" s="21"/>
      <c r="F44" s="21"/>
    </row>
    <row r="45" spans="2:6" ht="19.5" customHeight="1" x14ac:dyDescent="0.25">
      <c r="B45" s="20" t="s">
        <v>50</v>
      </c>
      <c r="C45" s="21" t="s">
        <v>51</v>
      </c>
      <c r="D45" s="21"/>
      <c r="E45" s="21"/>
      <c r="F45" s="21"/>
    </row>
    <row r="46" spans="2:6" ht="6" customHeight="1" x14ac:dyDescent="0.25"/>
    <row r="47" spans="2:6" ht="19.5" customHeight="1" x14ac:dyDescent="0.25">
      <c r="B47" s="22" t="s">
        <v>52</v>
      </c>
      <c r="C47" s="22"/>
      <c r="D47" s="22"/>
      <c r="E47" s="22"/>
      <c r="F47" s="22"/>
    </row>
  </sheetData>
  <mergeCells count="36">
    <mergeCell ref="C42:F42"/>
    <mergeCell ref="C43:F43"/>
    <mergeCell ref="C44:F44"/>
    <mergeCell ref="C45:F45"/>
    <mergeCell ref="B47:F47"/>
    <mergeCell ref="C37:F37"/>
    <mergeCell ref="C38:F38"/>
    <mergeCell ref="C39:F39"/>
    <mergeCell ref="C40:F40"/>
    <mergeCell ref="C41:F41"/>
    <mergeCell ref="C31:F31"/>
    <mergeCell ref="C32:F32"/>
    <mergeCell ref="C33:F33"/>
    <mergeCell ref="C34:F34"/>
    <mergeCell ref="B36:F36"/>
    <mergeCell ref="B25:B27"/>
    <mergeCell ref="C25:F25"/>
    <mergeCell ref="C26:F27"/>
    <mergeCell ref="B29:F29"/>
    <mergeCell ref="C30:F30"/>
    <mergeCell ref="B17:B19"/>
    <mergeCell ref="C17:F17"/>
    <mergeCell ref="C18:F19"/>
    <mergeCell ref="B21:B23"/>
    <mergeCell ref="C21:F21"/>
    <mergeCell ref="C22:F23"/>
    <mergeCell ref="C10:F10"/>
    <mergeCell ref="B12:F12"/>
    <mergeCell ref="B13:B15"/>
    <mergeCell ref="C13:F13"/>
    <mergeCell ref="C14:F15"/>
    <mergeCell ref="B1:F4"/>
    <mergeCell ref="B5:F5"/>
    <mergeCell ref="B7:F7"/>
    <mergeCell ref="C8:F8"/>
    <mergeCell ref="C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6E6E"/>
  </sheetPr>
  <dimension ref="A1:I16"/>
  <sheetViews>
    <sheetView showGridLines="0" zoomScaleNormal="100" workbookViewId="0">
      <pane ySplit="2" topLeftCell="A3" activePane="bottomLeft" state="frozen"/>
      <selection pane="bottomLeft" activeCell="B3" sqref="B3"/>
    </sheetView>
  </sheetViews>
  <sheetFormatPr defaultColWidth="8.6640625" defaultRowHeight="13.8" x14ac:dyDescent="0.25"/>
  <cols>
    <col min="1" max="1" width="3.88671875" style="3" bestFit="1" customWidth="1"/>
    <col min="2" max="2" width="15.88671875" style="3" bestFit="1" customWidth="1"/>
    <col min="3" max="3" width="24.88671875" style="3" bestFit="1" customWidth="1"/>
    <col min="4" max="4" width="11.44140625" style="3" bestFit="1" customWidth="1"/>
    <col min="5" max="5" width="12.21875" style="3" bestFit="1" customWidth="1"/>
    <col min="6" max="6" width="21.88671875" style="3" bestFit="1" customWidth="1"/>
    <col min="7" max="7" width="7.77734375" style="3" bestFit="1" customWidth="1"/>
    <col min="8" max="8" width="10.44140625" style="3" bestFit="1" customWidth="1"/>
    <col min="9" max="9" width="68.5546875" style="3" customWidth="1"/>
    <col min="10" max="16384" width="8.6640625" style="3"/>
  </cols>
  <sheetData>
    <row r="1" spans="1:9" ht="29.4" customHeight="1" x14ac:dyDescent="0.25">
      <c r="A1" s="23" t="s">
        <v>53</v>
      </c>
      <c r="B1" s="23"/>
      <c r="C1" s="23"/>
      <c r="D1" s="23"/>
      <c r="E1" s="23"/>
      <c r="F1" s="23"/>
      <c r="G1" s="23"/>
      <c r="H1" s="23"/>
      <c r="I1" s="23"/>
    </row>
    <row r="2" spans="1:9" ht="42" customHeight="1" x14ac:dyDescent="0.25">
      <c r="A2" s="24" t="s">
        <v>54</v>
      </c>
      <c r="B2" s="24" t="s">
        <v>55</v>
      </c>
      <c r="C2" s="24" t="s">
        <v>56</v>
      </c>
      <c r="D2" s="24" t="s">
        <v>57</v>
      </c>
      <c r="E2" s="24" t="s">
        <v>58</v>
      </c>
      <c r="F2" s="24" t="s">
        <v>59</v>
      </c>
      <c r="G2" s="24" t="s">
        <v>60</v>
      </c>
      <c r="H2" s="24" t="s">
        <v>61</v>
      </c>
      <c r="I2" s="24" t="s">
        <v>62</v>
      </c>
    </row>
    <row r="3" spans="1:9" x14ac:dyDescent="0.25">
      <c r="A3" s="25" t="s">
        <v>63</v>
      </c>
      <c r="B3" s="25" t="s">
        <v>64</v>
      </c>
      <c r="C3" s="25" t="s">
        <v>65</v>
      </c>
      <c r="D3" s="25" t="s">
        <v>66</v>
      </c>
      <c r="E3" s="25" t="s">
        <v>67</v>
      </c>
      <c r="F3" s="25" t="s">
        <v>68</v>
      </c>
      <c r="G3" s="25" t="s">
        <v>67</v>
      </c>
      <c r="H3" s="25" t="s">
        <v>13</v>
      </c>
      <c r="I3" s="25" t="s">
        <v>69</v>
      </c>
    </row>
    <row r="4" spans="1:9" x14ac:dyDescent="0.25">
      <c r="A4" s="26" t="s">
        <v>70</v>
      </c>
      <c r="B4" s="26" t="s">
        <v>71</v>
      </c>
      <c r="C4" s="26" t="s">
        <v>72</v>
      </c>
      <c r="D4" s="26" t="s">
        <v>73</v>
      </c>
      <c r="E4" s="26" t="s">
        <v>67</v>
      </c>
      <c r="F4" s="26" t="s">
        <v>74</v>
      </c>
      <c r="G4" s="26" t="s">
        <v>67</v>
      </c>
      <c r="H4" s="26" t="s">
        <v>13</v>
      </c>
      <c r="I4" s="26" t="s">
        <v>75</v>
      </c>
    </row>
    <row r="5" spans="1:9" x14ac:dyDescent="0.25">
      <c r="A5" s="25" t="s">
        <v>76</v>
      </c>
      <c r="B5" s="25" t="s">
        <v>77</v>
      </c>
      <c r="C5" s="25" t="s">
        <v>78</v>
      </c>
      <c r="D5" s="25" t="s">
        <v>79</v>
      </c>
      <c r="E5" s="25" t="s">
        <v>67</v>
      </c>
      <c r="F5" s="25" t="s">
        <v>80</v>
      </c>
      <c r="G5" s="25" t="s">
        <v>67</v>
      </c>
      <c r="H5" s="25" t="s">
        <v>10</v>
      </c>
      <c r="I5" s="25" t="s">
        <v>81</v>
      </c>
    </row>
    <row r="6" spans="1:9" x14ac:dyDescent="0.25">
      <c r="A6" s="26" t="s">
        <v>82</v>
      </c>
      <c r="B6" s="26" t="s">
        <v>83</v>
      </c>
      <c r="C6" s="26" t="s">
        <v>84</v>
      </c>
      <c r="D6" s="26" t="s">
        <v>85</v>
      </c>
      <c r="E6" s="26" t="s">
        <v>67</v>
      </c>
      <c r="F6" s="26" t="s">
        <v>86</v>
      </c>
      <c r="G6" s="26" t="s">
        <v>67</v>
      </c>
      <c r="H6" s="26" t="s">
        <v>10</v>
      </c>
      <c r="I6" s="26" t="s">
        <v>87</v>
      </c>
    </row>
    <row r="7" spans="1:9" x14ac:dyDescent="0.25">
      <c r="A7" s="25" t="s">
        <v>88</v>
      </c>
      <c r="B7" s="25" t="s">
        <v>89</v>
      </c>
      <c r="C7" s="25" t="s">
        <v>90</v>
      </c>
      <c r="D7" s="25" t="s">
        <v>91</v>
      </c>
      <c r="E7" s="25" t="s">
        <v>67</v>
      </c>
      <c r="F7" s="25" t="s">
        <v>92</v>
      </c>
      <c r="G7" s="25" t="s">
        <v>67</v>
      </c>
      <c r="H7" s="25" t="s">
        <v>10</v>
      </c>
      <c r="I7" s="25" t="s">
        <v>93</v>
      </c>
    </row>
    <row r="8" spans="1:9" x14ac:dyDescent="0.25">
      <c r="A8" s="26" t="s">
        <v>94</v>
      </c>
      <c r="B8" s="26" t="s">
        <v>95</v>
      </c>
      <c r="C8" s="26" t="s">
        <v>96</v>
      </c>
      <c r="D8" s="26" t="s">
        <v>97</v>
      </c>
      <c r="E8" s="26" t="s">
        <v>67</v>
      </c>
      <c r="F8" s="26" t="s">
        <v>98</v>
      </c>
      <c r="G8" s="26" t="s">
        <v>67</v>
      </c>
      <c r="H8" s="26" t="s">
        <v>13</v>
      </c>
      <c r="I8" s="26" t="s">
        <v>99</v>
      </c>
    </row>
    <row r="9" spans="1:9" x14ac:dyDescent="0.25">
      <c r="A9" s="25" t="s">
        <v>100</v>
      </c>
      <c r="B9" s="25" t="s">
        <v>101</v>
      </c>
      <c r="C9" s="25" t="s">
        <v>102</v>
      </c>
      <c r="D9" s="25" t="s">
        <v>103</v>
      </c>
      <c r="E9" s="25" t="s">
        <v>67</v>
      </c>
      <c r="F9" s="25" t="s">
        <v>104</v>
      </c>
      <c r="G9" s="25" t="s">
        <v>67</v>
      </c>
      <c r="H9" s="25" t="s">
        <v>10</v>
      </c>
      <c r="I9" s="25" t="s">
        <v>105</v>
      </c>
    </row>
    <row r="10" spans="1:9" x14ac:dyDescent="0.25">
      <c r="A10" s="26" t="s">
        <v>106</v>
      </c>
      <c r="B10" s="26" t="s">
        <v>107</v>
      </c>
      <c r="C10" s="26" t="s">
        <v>108</v>
      </c>
      <c r="D10" s="26" t="s">
        <v>109</v>
      </c>
      <c r="E10" s="26" t="s">
        <v>67</v>
      </c>
      <c r="F10" s="26" t="s">
        <v>110</v>
      </c>
      <c r="G10" s="26" t="s">
        <v>67</v>
      </c>
      <c r="H10" s="26" t="s">
        <v>16</v>
      </c>
      <c r="I10" s="26" t="s">
        <v>111</v>
      </c>
    </row>
    <row r="11" spans="1:9" x14ac:dyDescent="0.25">
      <c r="A11" s="25" t="s">
        <v>112</v>
      </c>
      <c r="B11" s="25" t="s">
        <v>113</v>
      </c>
      <c r="C11" s="25" t="s">
        <v>114</v>
      </c>
      <c r="D11" s="25" t="s">
        <v>115</v>
      </c>
      <c r="E11" s="25" t="s">
        <v>116</v>
      </c>
      <c r="F11" s="25" t="s">
        <v>117</v>
      </c>
      <c r="G11" s="25" t="s">
        <v>115</v>
      </c>
      <c r="H11" s="25" t="s">
        <v>10</v>
      </c>
      <c r="I11" s="25" t="s">
        <v>118</v>
      </c>
    </row>
    <row r="12" spans="1:9" x14ac:dyDescent="0.25">
      <c r="A12" s="26" t="s">
        <v>119</v>
      </c>
      <c r="B12" s="26" t="s">
        <v>120</v>
      </c>
      <c r="C12" s="26" t="s">
        <v>121</v>
      </c>
      <c r="D12" s="26" t="s">
        <v>115</v>
      </c>
      <c r="E12" s="26" t="s">
        <v>116</v>
      </c>
      <c r="F12" s="26" t="s">
        <v>122</v>
      </c>
      <c r="G12" s="26" t="s">
        <v>115</v>
      </c>
      <c r="H12" s="26" t="s">
        <v>10</v>
      </c>
      <c r="I12" s="26" t="s">
        <v>123</v>
      </c>
    </row>
    <row r="13" spans="1:9" x14ac:dyDescent="0.25">
      <c r="A13" s="25" t="s">
        <v>124</v>
      </c>
      <c r="B13" s="25" t="s">
        <v>125</v>
      </c>
      <c r="C13" s="25" t="s">
        <v>126</v>
      </c>
      <c r="D13" s="25" t="s">
        <v>127</v>
      </c>
      <c r="E13" s="25" t="s">
        <v>67</v>
      </c>
      <c r="F13" s="25" t="s">
        <v>128</v>
      </c>
      <c r="G13" s="25" t="s">
        <v>67</v>
      </c>
      <c r="H13" s="25" t="s">
        <v>16</v>
      </c>
      <c r="I13" s="25" t="s">
        <v>129</v>
      </c>
    </row>
    <row r="14" spans="1:9" x14ac:dyDescent="0.25">
      <c r="A14" s="26" t="s">
        <v>130</v>
      </c>
      <c r="B14" s="26" t="s">
        <v>131</v>
      </c>
      <c r="C14" s="26" t="s">
        <v>132</v>
      </c>
      <c r="D14" s="26" t="s">
        <v>133</v>
      </c>
      <c r="E14" s="26" t="s">
        <v>67</v>
      </c>
      <c r="F14" s="26" t="s">
        <v>134</v>
      </c>
      <c r="G14" s="26" t="s">
        <v>67</v>
      </c>
      <c r="H14" s="26" t="s">
        <v>16</v>
      </c>
      <c r="I14" s="26" t="s">
        <v>135</v>
      </c>
    </row>
    <row r="15" spans="1:9" x14ac:dyDescent="0.25">
      <c r="A15" s="25" t="s">
        <v>136</v>
      </c>
      <c r="B15" s="25" t="s">
        <v>137</v>
      </c>
      <c r="C15" s="25" t="s">
        <v>138</v>
      </c>
      <c r="D15" s="25" t="s">
        <v>66</v>
      </c>
      <c r="E15" s="25" t="s">
        <v>67</v>
      </c>
      <c r="F15" s="25" t="s">
        <v>139</v>
      </c>
      <c r="G15" s="25" t="s">
        <v>67</v>
      </c>
      <c r="H15" s="25" t="s">
        <v>19</v>
      </c>
      <c r="I15" s="25" t="s">
        <v>140</v>
      </c>
    </row>
    <row r="16" spans="1:9" x14ac:dyDescent="0.25">
      <c r="A16" s="26" t="s">
        <v>141</v>
      </c>
      <c r="B16" s="26" t="s">
        <v>142</v>
      </c>
      <c r="C16" s="26" t="s">
        <v>143</v>
      </c>
      <c r="D16" s="26" t="s">
        <v>144</v>
      </c>
      <c r="E16" s="26" t="s">
        <v>116</v>
      </c>
      <c r="F16" s="26" t="s">
        <v>145</v>
      </c>
      <c r="G16" s="26" t="s">
        <v>116</v>
      </c>
      <c r="H16" s="26" t="s">
        <v>19</v>
      </c>
      <c r="I16" s="26" t="s">
        <v>146</v>
      </c>
    </row>
  </sheetData>
  <mergeCells count="1">
    <mergeCell ref="A1:I1"/>
  </mergeCells>
  <dataValidations count="2">
    <dataValidation type="list" sqref="G3:G50" xr:uid="{00000000-0002-0000-0100-000000000000}">
      <formula1>"Internal,External,Vendor,Contractor"</formula1>
      <formula2>0</formula2>
    </dataValidation>
    <dataValidation type="list" allowBlank="1" sqref="H3:H50" xr:uid="{00000000-0002-0000-0100-000001000000}">
      <formula1>"R,A,C,I,—"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A020"/>
  </sheetPr>
  <dimension ref="A1:U59"/>
  <sheetViews>
    <sheetView showGridLines="0" zoomScaleNormal="100" workbookViewId="0">
      <pane xSplit="5" ySplit="7" topLeftCell="F20" activePane="bottomRight" state="frozen"/>
      <selection pane="topRight" activeCell="F1" sqref="F1"/>
      <selection pane="bottomLeft" activeCell="A8" sqref="A8"/>
      <selection pane="bottomRight" activeCell="E36" sqref="E36"/>
    </sheetView>
  </sheetViews>
  <sheetFormatPr defaultColWidth="8.6640625" defaultRowHeight="13.8" x14ac:dyDescent="0.25"/>
  <cols>
    <col min="1" max="1" width="14.6640625" style="3" customWidth="1"/>
    <col min="2" max="2" width="5.33203125" style="3" customWidth="1"/>
    <col min="3" max="3" width="32" style="3" customWidth="1"/>
    <col min="4" max="4" width="8.44140625" style="3" customWidth="1"/>
    <col min="5" max="5" width="52.44140625" style="78" customWidth="1"/>
    <col min="6" max="18" width="6" style="3" customWidth="1"/>
    <col min="19" max="19" width="44.33203125" style="3" customWidth="1"/>
    <col min="20" max="20" width="8.5546875" style="3" customWidth="1"/>
    <col min="21" max="16384" width="8.6640625" style="3"/>
  </cols>
  <sheetData>
    <row r="1" spans="1:21" ht="9.75" customHeight="1" x14ac:dyDescent="0.25">
      <c r="A1" s="27" t="s">
        <v>147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1"/>
    </row>
    <row r="2" spans="1:21" ht="21.7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1"/>
    </row>
    <row r="3" spans="1:21" ht="9.7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1"/>
    </row>
    <row r="4" spans="1:21" ht="18" customHeight="1" x14ac:dyDescent="0.25">
      <c r="A4" s="28" t="s">
        <v>148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1" ht="18" customHeight="1" x14ac:dyDescent="0.25">
      <c r="A5" s="29" t="s">
        <v>149</v>
      </c>
      <c r="B5" s="29"/>
      <c r="D5" s="30" t="s">
        <v>10</v>
      </c>
      <c r="E5" s="75" t="s">
        <v>150</v>
      </c>
      <c r="F5" s="31" t="s">
        <v>13</v>
      </c>
      <c r="G5" s="32" t="s">
        <v>151</v>
      </c>
      <c r="H5" s="33" t="s">
        <v>16</v>
      </c>
      <c r="I5" s="34" t="s">
        <v>152</v>
      </c>
      <c r="J5" s="35" t="s">
        <v>19</v>
      </c>
      <c r="K5" s="36" t="s">
        <v>153</v>
      </c>
      <c r="L5" s="37" t="s">
        <v>154</v>
      </c>
      <c r="M5" s="37"/>
      <c r="N5" s="37"/>
      <c r="O5" s="37"/>
      <c r="P5" s="37"/>
      <c r="Q5" s="37"/>
      <c r="R5" s="37"/>
      <c r="S5" s="37"/>
      <c r="T5" s="37"/>
    </row>
    <row r="6" spans="1:21" ht="13.5" customHeight="1" x14ac:dyDescent="0.25">
      <c r="A6" s="38" t="s">
        <v>155</v>
      </c>
      <c r="B6" s="38" t="s">
        <v>156</v>
      </c>
      <c r="C6" s="38" t="s">
        <v>157</v>
      </c>
      <c r="D6" s="38" t="s">
        <v>158</v>
      </c>
      <c r="E6" s="76" t="s">
        <v>159</v>
      </c>
      <c r="F6" s="74" t="s">
        <v>160</v>
      </c>
      <c r="G6" s="74" t="s">
        <v>161</v>
      </c>
      <c r="H6" s="74" t="s">
        <v>162</v>
      </c>
      <c r="I6" s="74" t="s">
        <v>163</v>
      </c>
      <c r="J6" s="74" t="s">
        <v>164</v>
      </c>
      <c r="K6" s="74" t="s">
        <v>165</v>
      </c>
      <c r="L6" s="74" t="s">
        <v>166</v>
      </c>
      <c r="M6" s="74" t="s">
        <v>167</v>
      </c>
      <c r="N6" s="74" t="s">
        <v>168</v>
      </c>
      <c r="O6" s="74" t="s">
        <v>169</v>
      </c>
      <c r="P6" s="74" t="s">
        <v>170</v>
      </c>
      <c r="Q6" s="74" t="s">
        <v>171</v>
      </c>
      <c r="R6" s="74" t="s">
        <v>172</v>
      </c>
      <c r="S6" s="39" t="s">
        <v>173</v>
      </c>
      <c r="T6" s="39" t="s">
        <v>174</v>
      </c>
    </row>
    <row r="7" spans="1:21" ht="73.2" customHeight="1" x14ac:dyDescent="0.25">
      <c r="A7" s="38"/>
      <c r="B7" s="38"/>
      <c r="C7" s="38"/>
      <c r="D7" s="38"/>
      <c r="E7" s="76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39"/>
      <c r="T7" s="39"/>
    </row>
    <row r="8" spans="1:21" ht="19.5" customHeight="1" x14ac:dyDescent="0.25">
      <c r="A8" s="40" t="s">
        <v>175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pans="1:21" ht="21.75" customHeight="1" x14ac:dyDescent="0.25">
      <c r="A9" s="41" t="s">
        <v>176</v>
      </c>
      <c r="B9" s="67">
        <v>1.1000000000000001</v>
      </c>
      <c r="C9" s="42" t="s">
        <v>177</v>
      </c>
      <c r="D9" s="43" t="s">
        <v>178</v>
      </c>
      <c r="E9" s="77" t="s">
        <v>179</v>
      </c>
      <c r="F9" s="45" t="s">
        <v>13</v>
      </c>
      <c r="G9" s="46" t="s">
        <v>10</v>
      </c>
      <c r="H9" s="47" t="s">
        <v>16</v>
      </c>
      <c r="I9" s="47" t="s">
        <v>16</v>
      </c>
      <c r="J9" s="48"/>
      <c r="K9" s="47" t="s">
        <v>16</v>
      </c>
      <c r="L9" s="48"/>
      <c r="M9" s="48"/>
      <c r="N9" s="49" t="s">
        <v>19</v>
      </c>
      <c r="O9" s="48"/>
      <c r="P9" s="47" t="s">
        <v>16</v>
      </c>
      <c r="Q9" s="48"/>
      <c r="R9" s="49" t="s">
        <v>19</v>
      </c>
      <c r="S9" s="50" t="s">
        <v>180</v>
      </c>
      <c r="T9" s="51" t="str">
        <f t="shared" ref="T9:T15" si="0">IF(COUNTIF(F9:R9,"A")&gt;1,"⚠ Multi-A",IF(COUNTIF(F9:R9,"A")=0,"⚠ No A",IF(COUNTIF(F9:R9,"R")=0,"⚠ No R","✅ OK")))</f>
        <v>✅ OK</v>
      </c>
    </row>
    <row r="10" spans="1:21" ht="21.75" customHeight="1" x14ac:dyDescent="0.25">
      <c r="A10" s="41" t="s">
        <v>176</v>
      </c>
      <c r="B10" s="67">
        <v>1.2</v>
      </c>
      <c r="C10" s="42" t="s">
        <v>181</v>
      </c>
      <c r="D10" s="43" t="s">
        <v>178</v>
      </c>
      <c r="E10" s="77" t="s">
        <v>182</v>
      </c>
      <c r="F10" s="49" t="s">
        <v>19</v>
      </c>
      <c r="G10" s="45" t="s">
        <v>13</v>
      </c>
      <c r="H10" s="47" t="s">
        <v>16</v>
      </c>
      <c r="I10" s="46" t="s">
        <v>10</v>
      </c>
      <c r="J10" s="48"/>
      <c r="K10" s="48"/>
      <c r="L10" s="47" t="s">
        <v>16</v>
      </c>
      <c r="M10" s="48"/>
      <c r="N10" s="49" t="s">
        <v>19</v>
      </c>
      <c r="O10" s="48"/>
      <c r="P10" s="47" t="s">
        <v>16</v>
      </c>
      <c r="Q10" s="48"/>
      <c r="R10" s="49" t="s">
        <v>19</v>
      </c>
      <c r="S10" s="50" t="s">
        <v>183</v>
      </c>
      <c r="T10" s="51" t="str">
        <f t="shared" si="0"/>
        <v>✅ OK</v>
      </c>
    </row>
    <row r="11" spans="1:21" ht="21.75" customHeight="1" x14ac:dyDescent="0.25">
      <c r="A11" s="41" t="s">
        <v>176</v>
      </c>
      <c r="B11" s="67">
        <v>1.3</v>
      </c>
      <c r="C11" s="42" t="s">
        <v>184</v>
      </c>
      <c r="D11" s="43" t="s">
        <v>178</v>
      </c>
      <c r="E11" s="77" t="s">
        <v>185</v>
      </c>
      <c r="F11" s="45" t="s">
        <v>13</v>
      </c>
      <c r="G11" s="46" t="s">
        <v>10</v>
      </c>
      <c r="H11" s="47" t="s">
        <v>16</v>
      </c>
      <c r="I11" s="47" t="s">
        <v>16</v>
      </c>
      <c r="J11" s="47" t="s">
        <v>16</v>
      </c>
      <c r="K11" s="47" t="s">
        <v>16</v>
      </c>
      <c r="L11" s="47" t="s">
        <v>16</v>
      </c>
      <c r="M11" s="47" t="s">
        <v>16</v>
      </c>
      <c r="N11" s="47" t="s">
        <v>16</v>
      </c>
      <c r="O11" s="48"/>
      <c r="P11" s="48"/>
      <c r="Q11" s="48"/>
      <c r="R11" s="49" t="s">
        <v>19</v>
      </c>
      <c r="S11" s="50" t="s">
        <v>186</v>
      </c>
      <c r="T11" s="51" t="str">
        <f t="shared" si="0"/>
        <v>✅ OK</v>
      </c>
    </row>
    <row r="12" spans="1:21" ht="21.75" customHeight="1" x14ac:dyDescent="0.25">
      <c r="A12" s="41" t="s">
        <v>176</v>
      </c>
      <c r="B12" s="67">
        <v>1.4</v>
      </c>
      <c r="C12" s="42" t="s">
        <v>187</v>
      </c>
      <c r="D12" s="43" t="s">
        <v>178</v>
      </c>
      <c r="E12" s="77" t="s">
        <v>188</v>
      </c>
      <c r="F12" s="45" t="s">
        <v>13</v>
      </c>
      <c r="G12" s="46" t="s">
        <v>10</v>
      </c>
      <c r="H12" s="47" t="s">
        <v>16</v>
      </c>
      <c r="I12" s="47" t="s">
        <v>16</v>
      </c>
      <c r="J12" s="48"/>
      <c r="K12" s="47" t="s">
        <v>16</v>
      </c>
      <c r="L12" s="48"/>
      <c r="M12" s="47" t="s">
        <v>16</v>
      </c>
      <c r="N12" s="49" t="s">
        <v>19</v>
      </c>
      <c r="O12" s="48"/>
      <c r="P12" s="47" t="s">
        <v>16</v>
      </c>
      <c r="Q12" s="48"/>
      <c r="R12" s="47" t="s">
        <v>16</v>
      </c>
      <c r="S12" s="50" t="s">
        <v>189</v>
      </c>
      <c r="T12" s="51" t="str">
        <f t="shared" si="0"/>
        <v>✅ OK</v>
      </c>
    </row>
    <row r="13" spans="1:21" ht="21.75" customHeight="1" x14ac:dyDescent="0.25">
      <c r="A13" s="41" t="s">
        <v>176</v>
      </c>
      <c r="B13" s="67">
        <v>1.5</v>
      </c>
      <c r="C13" s="42" t="s">
        <v>190</v>
      </c>
      <c r="D13" s="43" t="s">
        <v>178</v>
      </c>
      <c r="E13" s="77" t="s">
        <v>191</v>
      </c>
      <c r="F13" s="45" t="s">
        <v>13</v>
      </c>
      <c r="G13" s="46" t="s">
        <v>10</v>
      </c>
      <c r="H13" s="47" t="s">
        <v>16</v>
      </c>
      <c r="I13" s="48"/>
      <c r="J13" s="48"/>
      <c r="K13" s="46" t="s">
        <v>10</v>
      </c>
      <c r="L13" s="48"/>
      <c r="M13" s="48"/>
      <c r="N13" s="49" t="s">
        <v>19</v>
      </c>
      <c r="O13" s="48"/>
      <c r="P13" s="48"/>
      <c r="Q13" s="48"/>
      <c r="R13" s="49" t="s">
        <v>19</v>
      </c>
      <c r="S13" s="50" t="s">
        <v>192</v>
      </c>
      <c r="T13" s="51" t="str">
        <f t="shared" si="0"/>
        <v>✅ OK</v>
      </c>
    </row>
    <row r="14" spans="1:21" ht="21.75" customHeight="1" x14ac:dyDescent="0.25">
      <c r="A14" s="41" t="s">
        <v>176</v>
      </c>
      <c r="B14" s="67">
        <v>1.6</v>
      </c>
      <c r="C14" s="42" t="s">
        <v>193</v>
      </c>
      <c r="D14" s="52" t="s">
        <v>194</v>
      </c>
      <c r="E14" s="77" t="s">
        <v>195</v>
      </c>
      <c r="F14" s="49" t="s">
        <v>19</v>
      </c>
      <c r="G14" s="46" t="s">
        <v>10</v>
      </c>
      <c r="H14" s="47" t="s">
        <v>16</v>
      </c>
      <c r="I14" s="47" t="s">
        <v>16</v>
      </c>
      <c r="J14" s="48"/>
      <c r="K14" s="48"/>
      <c r="L14" s="48"/>
      <c r="M14" s="45" t="s">
        <v>13</v>
      </c>
      <c r="N14" s="49" t="s">
        <v>19</v>
      </c>
      <c r="O14" s="48"/>
      <c r="P14" s="47" t="s">
        <v>16</v>
      </c>
      <c r="Q14" s="48"/>
      <c r="R14" s="49" t="s">
        <v>19</v>
      </c>
      <c r="S14" s="50" t="s">
        <v>196</v>
      </c>
      <c r="T14" s="51" t="str">
        <f t="shared" si="0"/>
        <v>✅ OK</v>
      </c>
    </row>
    <row r="15" spans="1:21" ht="21.75" customHeight="1" x14ac:dyDescent="0.25">
      <c r="A15" s="41" t="s">
        <v>176</v>
      </c>
      <c r="B15" s="67">
        <v>1.7</v>
      </c>
      <c r="C15" s="42" t="s">
        <v>197</v>
      </c>
      <c r="D15" s="43" t="s">
        <v>178</v>
      </c>
      <c r="E15" s="77" t="s">
        <v>198</v>
      </c>
      <c r="F15" s="45" t="s">
        <v>13</v>
      </c>
      <c r="G15" s="46" t="s">
        <v>10</v>
      </c>
      <c r="H15" s="47" t="s">
        <v>16</v>
      </c>
      <c r="I15" s="48"/>
      <c r="J15" s="48"/>
      <c r="K15" s="47" t="s">
        <v>16</v>
      </c>
      <c r="L15" s="48"/>
      <c r="M15" s="48"/>
      <c r="N15" s="46" t="s">
        <v>10</v>
      </c>
      <c r="O15" s="48"/>
      <c r="P15" s="47" t="s">
        <v>16</v>
      </c>
      <c r="Q15" s="48"/>
      <c r="R15" s="49" t="s">
        <v>19</v>
      </c>
      <c r="S15" s="50" t="s">
        <v>199</v>
      </c>
      <c r="T15" s="51" t="str">
        <f t="shared" si="0"/>
        <v>✅ OK</v>
      </c>
    </row>
    <row r="16" spans="1:21" ht="19.5" customHeight="1" x14ac:dyDescent="0.25">
      <c r="A16" s="53" t="s">
        <v>200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</row>
    <row r="17" spans="1:20" ht="21.75" customHeight="1" x14ac:dyDescent="0.25">
      <c r="A17" s="54" t="s">
        <v>201</v>
      </c>
      <c r="B17" s="68">
        <v>2.1</v>
      </c>
      <c r="C17" s="42" t="s">
        <v>202</v>
      </c>
      <c r="D17" s="43" t="s">
        <v>178</v>
      </c>
      <c r="E17" s="77" t="s">
        <v>203</v>
      </c>
      <c r="F17" s="49" t="s">
        <v>19</v>
      </c>
      <c r="G17" s="45" t="s">
        <v>13</v>
      </c>
      <c r="H17" s="47" t="s">
        <v>16</v>
      </c>
      <c r="I17" s="47" t="s">
        <v>16</v>
      </c>
      <c r="J17" s="47" t="s">
        <v>16</v>
      </c>
      <c r="K17" s="48"/>
      <c r="L17" s="47" t="s">
        <v>16</v>
      </c>
      <c r="M17" s="48"/>
      <c r="N17" s="47" t="s">
        <v>16</v>
      </c>
      <c r="O17" s="48"/>
      <c r="P17" s="48"/>
      <c r="Q17" s="48"/>
      <c r="R17" s="49" t="s">
        <v>19</v>
      </c>
      <c r="S17" s="50" t="s">
        <v>204</v>
      </c>
      <c r="T17" s="51" t="str">
        <f t="shared" ref="T17:T23" si="1">IF(COUNTIF(F17:R17,"A")&gt;1,"⚠ Multi-A",IF(COUNTIF(F17:R17,"A")=0,"⚠ No A",IF(COUNTIF(F17:R17,"R")=0,"⚠ No R","✅ OK")))</f>
        <v>⚠ No R</v>
      </c>
    </row>
    <row r="18" spans="1:20" ht="21.75" customHeight="1" x14ac:dyDescent="0.25">
      <c r="A18" s="54" t="s">
        <v>201</v>
      </c>
      <c r="B18" s="68">
        <v>2.2000000000000002</v>
      </c>
      <c r="C18" s="42" t="s">
        <v>205</v>
      </c>
      <c r="D18" s="43" t="s">
        <v>178</v>
      </c>
      <c r="E18" s="77" t="s">
        <v>206</v>
      </c>
      <c r="F18" s="45" t="s">
        <v>13</v>
      </c>
      <c r="G18" s="46" t="s">
        <v>10</v>
      </c>
      <c r="H18" s="47" t="s">
        <v>16</v>
      </c>
      <c r="I18" s="46" t="s">
        <v>10</v>
      </c>
      <c r="J18" s="47" t="s">
        <v>16</v>
      </c>
      <c r="K18" s="47" t="s">
        <v>16</v>
      </c>
      <c r="L18" s="47" t="s">
        <v>16</v>
      </c>
      <c r="M18" s="47" t="s">
        <v>16</v>
      </c>
      <c r="N18" s="49" t="s">
        <v>19</v>
      </c>
      <c r="O18" s="49" t="s">
        <v>19</v>
      </c>
      <c r="P18" s="47" t="s">
        <v>16</v>
      </c>
      <c r="Q18" s="47" t="s">
        <v>16</v>
      </c>
      <c r="R18" s="49" t="s">
        <v>19</v>
      </c>
      <c r="S18" s="50" t="s">
        <v>207</v>
      </c>
      <c r="T18" s="51" t="str">
        <f t="shared" si="1"/>
        <v>✅ OK</v>
      </c>
    </row>
    <row r="19" spans="1:20" ht="21.75" customHeight="1" x14ac:dyDescent="0.25">
      <c r="A19" s="54" t="s">
        <v>201</v>
      </c>
      <c r="B19" s="68">
        <v>2.2999999999999998</v>
      </c>
      <c r="C19" s="42" t="s">
        <v>208</v>
      </c>
      <c r="D19" s="43" t="s">
        <v>178</v>
      </c>
      <c r="E19" s="77" t="s">
        <v>209</v>
      </c>
      <c r="F19" s="49" t="s">
        <v>19</v>
      </c>
      <c r="G19" s="47" t="s">
        <v>16</v>
      </c>
      <c r="H19" s="45" t="s">
        <v>13</v>
      </c>
      <c r="I19" s="47" t="s">
        <v>16</v>
      </c>
      <c r="J19" s="47" t="s">
        <v>16</v>
      </c>
      <c r="K19" s="48"/>
      <c r="L19" s="48"/>
      <c r="M19" s="47" t="s">
        <v>16</v>
      </c>
      <c r="N19" s="46" t="s">
        <v>10</v>
      </c>
      <c r="O19" s="46" t="s">
        <v>10</v>
      </c>
      <c r="P19" s="48"/>
      <c r="Q19" s="48"/>
      <c r="R19" s="49" t="s">
        <v>19</v>
      </c>
      <c r="S19" s="50" t="s">
        <v>210</v>
      </c>
      <c r="T19" s="51" t="str">
        <f t="shared" si="1"/>
        <v>✅ OK</v>
      </c>
    </row>
    <row r="20" spans="1:20" ht="21.75" customHeight="1" x14ac:dyDescent="0.25">
      <c r="A20" s="54" t="s">
        <v>201</v>
      </c>
      <c r="B20" s="68">
        <v>2.4</v>
      </c>
      <c r="C20" s="42" t="s">
        <v>211</v>
      </c>
      <c r="D20" s="52" t="s">
        <v>194</v>
      </c>
      <c r="E20" s="77" t="s">
        <v>212</v>
      </c>
      <c r="F20" s="49" t="s">
        <v>19</v>
      </c>
      <c r="G20" s="47" t="s">
        <v>16</v>
      </c>
      <c r="H20" s="47" t="s">
        <v>16</v>
      </c>
      <c r="I20" s="47" t="s">
        <v>16</v>
      </c>
      <c r="J20" s="45" t="s">
        <v>13</v>
      </c>
      <c r="K20" s="48"/>
      <c r="L20" s="48"/>
      <c r="M20" s="48"/>
      <c r="N20" s="49" t="s">
        <v>19</v>
      </c>
      <c r="O20" s="49" t="s">
        <v>19</v>
      </c>
      <c r="P20" s="48"/>
      <c r="Q20" s="47" t="s">
        <v>16</v>
      </c>
      <c r="R20" s="49" t="s">
        <v>19</v>
      </c>
      <c r="S20" s="50" t="s">
        <v>213</v>
      </c>
      <c r="T20" s="51" t="str">
        <f t="shared" si="1"/>
        <v>⚠ No R</v>
      </c>
    </row>
    <row r="21" spans="1:20" ht="21.75" customHeight="1" x14ac:dyDescent="0.25">
      <c r="A21" s="54" t="s">
        <v>201</v>
      </c>
      <c r="B21" s="68">
        <v>2.5</v>
      </c>
      <c r="C21" s="42" t="s">
        <v>214</v>
      </c>
      <c r="D21" s="52" t="s">
        <v>194</v>
      </c>
      <c r="E21" s="77" t="s">
        <v>215</v>
      </c>
      <c r="F21" s="49" t="s">
        <v>19</v>
      </c>
      <c r="G21" s="47" t="s">
        <v>16</v>
      </c>
      <c r="H21" s="48"/>
      <c r="I21" s="47" t="s">
        <v>16</v>
      </c>
      <c r="J21" s="48"/>
      <c r="K21" s="48"/>
      <c r="L21" s="45" t="s">
        <v>13</v>
      </c>
      <c r="M21" s="48"/>
      <c r="N21" s="49" t="s">
        <v>19</v>
      </c>
      <c r="O21" s="48"/>
      <c r="P21" s="48"/>
      <c r="Q21" s="47" t="s">
        <v>16</v>
      </c>
      <c r="R21" s="49" t="s">
        <v>19</v>
      </c>
      <c r="S21" s="50" t="s">
        <v>216</v>
      </c>
      <c r="T21" s="51" t="str">
        <f t="shared" si="1"/>
        <v>⚠ No R</v>
      </c>
    </row>
    <row r="22" spans="1:20" ht="21.75" customHeight="1" x14ac:dyDescent="0.25">
      <c r="A22" s="54" t="s">
        <v>201</v>
      </c>
      <c r="B22" s="68">
        <v>2.6</v>
      </c>
      <c r="C22" s="42" t="s">
        <v>217</v>
      </c>
      <c r="D22" s="52" t="s">
        <v>194</v>
      </c>
      <c r="E22" s="77" t="s">
        <v>218</v>
      </c>
      <c r="F22" s="49" t="s">
        <v>19</v>
      </c>
      <c r="G22" s="45" t="s">
        <v>13</v>
      </c>
      <c r="H22" s="47" t="s">
        <v>16</v>
      </c>
      <c r="I22" s="47" t="s">
        <v>16</v>
      </c>
      <c r="J22" s="47" t="s">
        <v>16</v>
      </c>
      <c r="K22" s="47" t="s">
        <v>16</v>
      </c>
      <c r="L22" s="47" t="s">
        <v>16</v>
      </c>
      <c r="M22" s="47" t="s">
        <v>16</v>
      </c>
      <c r="N22" s="46" t="s">
        <v>10</v>
      </c>
      <c r="O22" s="48"/>
      <c r="P22" s="47" t="s">
        <v>16</v>
      </c>
      <c r="Q22" s="48"/>
      <c r="R22" s="49" t="s">
        <v>19</v>
      </c>
      <c r="S22" s="50" t="s">
        <v>219</v>
      </c>
      <c r="T22" s="51" t="str">
        <f t="shared" si="1"/>
        <v>✅ OK</v>
      </c>
    </row>
    <row r="23" spans="1:20" ht="21.75" customHeight="1" x14ac:dyDescent="0.25">
      <c r="A23" s="54" t="s">
        <v>201</v>
      </c>
      <c r="B23" s="68">
        <v>2.7</v>
      </c>
      <c r="C23" s="42" t="s">
        <v>220</v>
      </c>
      <c r="D23" s="43" t="s">
        <v>178</v>
      </c>
      <c r="E23" s="77" t="s">
        <v>221</v>
      </c>
      <c r="F23" s="49" t="s">
        <v>19</v>
      </c>
      <c r="G23" s="47" t="s">
        <v>16</v>
      </c>
      <c r="H23" s="46" t="s">
        <v>10</v>
      </c>
      <c r="I23" s="47" t="s">
        <v>16</v>
      </c>
      <c r="J23" s="47" t="s">
        <v>16</v>
      </c>
      <c r="K23" s="45" t="s">
        <v>13</v>
      </c>
      <c r="L23" s="48"/>
      <c r="M23" s="47" t="s">
        <v>16</v>
      </c>
      <c r="N23" s="46" t="s">
        <v>10</v>
      </c>
      <c r="O23" s="46" t="s">
        <v>10</v>
      </c>
      <c r="P23" s="48"/>
      <c r="Q23" s="48"/>
      <c r="R23" s="49" t="s">
        <v>19</v>
      </c>
      <c r="S23" s="50" t="s">
        <v>222</v>
      </c>
      <c r="T23" s="51" t="str">
        <f t="shared" si="1"/>
        <v>✅ OK</v>
      </c>
    </row>
    <row r="24" spans="1:20" ht="19.5" customHeight="1" x14ac:dyDescent="0.25">
      <c r="A24" s="55" t="s">
        <v>223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</row>
    <row r="25" spans="1:20" ht="21.75" customHeight="1" x14ac:dyDescent="0.25">
      <c r="A25" s="56" t="s">
        <v>224</v>
      </c>
      <c r="B25" s="69">
        <v>3.1</v>
      </c>
      <c r="C25" s="42" t="s">
        <v>225</v>
      </c>
      <c r="D25" s="52" t="s">
        <v>194</v>
      </c>
      <c r="E25" s="77" t="s">
        <v>226</v>
      </c>
      <c r="F25" s="49" t="s">
        <v>19</v>
      </c>
      <c r="G25" s="47" t="s">
        <v>16</v>
      </c>
      <c r="H25" s="47" t="s">
        <v>16</v>
      </c>
      <c r="I25" s="45" t="s">
        <v>13</v>
      </c>
      <c r="J25" s="47" t="s">
        <v>16</v>
      </c>
      <c r="K25" s="48"/>
      <c r="L25" s="47" t="s">
        <v>16</v>
      </c>
      <c r="M25" s="48"/>
      <c r="N25" s="46" t="s">
        <v>10</v>
      </c>
      <c r="O25" s="46" t="s">
        <v>10</v>
      </c>
      <c r="P25" s="48"/>
      <c r="Q25" s="47" t="s">
        <v>16</v>
      </c>
      <c r="R25" s="49" t="s">
        <v>19</v>
      </c>
      <c r="S25" s="50" t="s">
        <v>227</v>
      </c>
      <c r="T25" s="51" t="str">
        <f>IF(COUNTIF(F25:R25,"A")&gt;1,"⚠ Multi-A",IF(COUNTIF(F25:R25,"A")=0,"⚠ No A",IF(COUNTIF(F25:R25,"R")=0,"⚠ No R","✅ OK")))</f>
        <v>✅ OK</v>
      </c>
    </row>
    <row r="26" spans="1:20" ht="21.75" customHeight="1" x14ac:dyDescent="0.25">
      <c r="A26" s="56" t="s">
        <v>224</v>
      </c>
      <c r="B26" s="69">
        <v>3.2</v>
      </c>
      <c r="C26" s="42" t="s">
        <v>228</v>
      </c>
      <c r="D26" s="43" t="s">
        <v>178</v>
      </c>
      <c r="E26" s="77" t="s">
        <v>229</v>
      </c>
      <c r="F26" s="49" t="s">
        <v>19</v>
      </c>
      <c r="G26" s="47" t="s">
        <v>16</v>
      </c>
      <c r="H26" s="45" t="s">
        <v>13</v>
      </c>
      <c r="I26" s="47" t="s">
        <v>16</v>
      </c>
      <c r="J26" s="47" t="s">
        <v>16</v>
      </c>
      <c r="K26" s="48"/>
      <c r="L26" s="48"/>
      <c r="M26" s="47" t="s">
        <v>16</v>
      </c>
      <c r="N26" s="46" t="s">
        <v>10</v>
      </c>
      <c r="O26" s="46" t="s">
        <v>10</v>
      </c>
      <c r="P26" s="48"/>
      <c r="Q26" s="48"/>
      <c r="R26" s="49" t="s">
        <v>19</v>
      </c>
      <c r="S26" s="50" t="s">
        <v>230</v>
      </c>
      <c r="T26" s="51" t="str">
        <f>IF(COUNTIF(F26:R26,"A")&gt;1,"⚠ Multi-A",IF(COUNTIF(F26:R26,"A")=0,"⚠ No A",IF(COUNTIF(F26:R26,"R")=0,"⚠ No R","✅ OK")))</f>
        <v>✅ OK</v>
      </c>
    </row>
    <row r="27" spans="1:20" ht="21.75" customHeight="1" x14ac:dyDescent="0.25">
      <c r="A27" s="56" t="s">
        <v>224</v>
      </c>
      <c r="B27" s="69">
        <v>3.3</v>
      </c>
      <c r="C27" s="42" t="s">
        <v>231</v>
      </c>
      <c r="D27" s="43" t="s">
        <v>178</v>
      </c>
      <c r="E27" s="77" t="s">
        <v>232</v>
      </c>
      <c r="F27" s="49" t="s">
        <v>19</v>
      </c>
      <c r="G27" s="47" t="s">
        <v>16</v>
      </c>
      <c r="H27" s="46" t="s">
        <v>10</v>
      </c>
      <c r="I27" s="48"/>
      <c r="J27" s="48"/>
      <c r="K27" s="48"/>
      <c r="L27" s="48"/>
      <c r="M27" s="45" t="s">
        <v>13</v>
      </c>
      <c r="N27" s="46" t="s">
        <v>10</v>
      </c>
      <c r="O27" s="46" t="s">
        <v>10</v>
      </c>
      <c r="P27" s="47" t="s">
        <v>16</v>
      </c>
      <c r="Q27" s="48"/>
      <c r="R27" s="49" t="s">
        <v>19</v>
      </c>
      <c r="S27" s="50" t="s">
        <v>233</v>
      </c>
      <c r="T27" s="51" t="str">
        <f>IF(COUNTIF(F27:R27,"A")&gt;1,"⚠ Multi-A",IF(COUNTIF(F27:R27,"A")=0,"⚠ No A",IF(COUNTIF(F27:R27,"R")=0,"⚠ No R","✅ OK")))</f>
        <v>✅ OK</v>
      </c>
    </row>
    <row r="28" spans="1:20" ht="21.75" customHeight="1" x14ac:dyDescent="0.25">
      <c r="A28" s="56" t="s">
        <v>224</v>
      </c>
      <c r="B28" s="69">
        <v>3.4</v>
      </c>
      <c r="C28" s="42" t="s">
        <v>234</v>
      </c>
      <c r="D28" s="52" t="s">
        <v>194</v>
      </c>
      <c r="E28" s="77" t="s">
        <v>235</v>
      </c>
      <c r="F28" s="49" t="s">
        <v>19</v>
      </c>
      <c r="G28" s="47" t="s">
        <v>16</v>
      </c>
      <c r="H28" s="47" t="s">
        <v>16</v>
      </c>
      <c r="I28" s="46" t="s">
        <v>10</v>
      </c>
      <c r="J28" s="48"/>
      <c r="K28" s="47" t="s">
        <v>16</v>
      </c>
      <c r="L28" s="48"/>
      <c r="M28" s="47" t="s">
        <v>16</v>
      </c>
      <c r="N28" s="46" t="s">
        <v>10</v>
      </c>
      <c r="O28" s="46" t="s">
        <v>10</v>
      </c>
      <c r="P28" s="48"/>
      <c r="Q28" s="48"/>
      <c r="R28" s="49" t="s">
        <v>19</v>
      </c>
      <c r="S28" s="50" t="s">
        <v>236</v>
      </c>
      <c r="T28" s="51" t="str">
        <f>IF(COUNTIF(F28:R28,"A")&gt;1,"⚠ Multi-A",IF(COUNTIF(F28:R28,"A")=0,"⚠ No A",IF(COUNTIF(F28:R28,"R")=0,"⚠ No R","✅ OK")))</f>
        <v>⚠ No A</v>
      </c>
    </row>
    <row r="29" spans="1:20" ht="19.5" customHeight="1" x14ac:dyDescent="0.25">
      <c r="A29" s="57" t="s">
        <v>237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</row>
    <row r="30" spans="1:20" ht="21.75" customHeight="1" x14ac:dyDescent="0.25">
      <c r="A30" s="58" t="s">
        <v>238</v>
      </c>
      <c r="B30" s="70">
        <v>4.0999999999999996</v>
      </c>
      <c r="C30" s="42" t="s">
        <v>239</v>
      </c>
      <c r="D30" s="43" t="s">
        <v>178</v>
      </c>
      <c r="E30" s="77" t="s">
        <v>240</v>
      </c>
      <c r="F30" s="49" t="s">
        <v>19</v>
      </c>
      <c r="G30" s="47" t="s">
        <v>16</v>
      </c>
      <c r="H30" s="46" t="s">
        <v>10</v>
      </c>
      <c r="I30" s="47" t="s">
        <v>16</v>
      </c>
      <c r="J30" s="47" t="s">
        <v>16</v>
      </c>
      <c r="K30" s="48"/>
      <c r="L30" s="48"/>
      <c r="M30" s="48"/>
      <c r="N30" s="45" t="s">
        <v>13</v>
      </c>
      <c r="O30" s="46" t="s">
        <v>10</v>
      </c>
      <c r="P30" s="48"/>
      <c r="Q30" s="48"/>
      <c r="R30" s="49" t="s">
        <v>19</v>
      </c>
      <c r="S30" s="50" t="s">
        <v>241</v>
      </c>
      <c r="T30" s="51" t="str">
        <f>IF(COUNTIF(F30:R30,"A")&gt;1,"⚠ Multi-A",IF(COUNTIF(F30:R30,"A")=0,"⚠ No A",IF(COUNTIF(F30:R30,"R")=0,"⚠ No R","✅ OK")))</f>
        <v>✅ OK</v>
      </c>
    </row>
    <row r="31" spans="1:20" ht="21.75" customHeight="1" x14ac:dyDescent="0.25">
      <c r="A31" s="58" t="s">
        <v>238</v>
      </c>
      <c r="B31" s="70">
        <v>4.2</v>
      </c>
      <c r="C31" s="42" t="s">
        <v>242</v>
      </c>
      <c r="D31" s="43" t="s">
        <v>178</v>
      </c>
      <c r="E31" s="77" t="s">
        <v>243</v>
      </c>
      <c r="F31" s="49" t="s">
        <v>19</v>
      </c>
      <c r="G31" s="47" t="s">
        <v>16</v>
      </c>
      <c r="H31" s="45" t="s">
        <v>13</v>
      </c>
      <c r="I31" s="48"/>
      <c r="J31" s="47" t="s">
        <v>16</v>
      </c>
      <c r="K31" s="48"/>
      <c r="L31" s="48"/>
      <c r="M31" s="47" t="s">
        <v>16</v>
      </c>
      <c r="N31" s="46" t="s">
        <v>10</v>
      </c>
      <c r="O31" s="46" t="s">
        <v>10</v>
      </c>
      <c r="P31" s="48"/>
      <c r="Q31" s="48"/>
      <c r="R31" s="49" t="s">
        <v>19</v>
      </c>
      <c r="S31" s="50" t="s">
        <v>244</v>
      </c>
      <c r="T31" s="51" t="str">
        <f>IF(COUNTIF(F31:R31,"A")&gt;1,"⚠ Multi-A",IF(COUNTIF(F31:R31,"A")=0,"⚠ No A",IF(COUNTIF(F31:R31,"R")=0,"⚠ No R","✅ OK")))</f>
        <v>✅ OK</v>
      </c>
    </row>
    <row r="32" spans="1:20" ht="21.75" customHeight="1" x14ac:dyDescent="0.25">
      <c r="A32" s="58" t="s">
        <v>238</v>
      </c>
      <c r="B32" s="70">
        <v>4.3</v>
      </c>
      <c r="C32" s="42" t="s">
        <v>245</v>
      </c>
      <c r="D32" s="43" t="s">
        <v>178</v>
      </c>
      <c r="E32" s="77" t="s">
        <v>246</v>
      </c>
      <c r="F32" s="49" t="s">
        <v>19</v>
      </c>
      <c r="G32" s="47" t="s">
        <v>16</v>
      </c>
      <c r="H32" s="47" t="s">
        <v>16</v>
      </c>
      <c r="I32" s="47" t="s">
        <v>16</v>
      </c>
      <c r="J32" s="47" t="s">
        <v>16</v>
      </c>
      <c r="K32" s="48"/>
      <c r="L32" s="48"/>
      <c r="M32" s="48"/>
      <c r="N32" s="45" t="s">
        <v>13</v>
      </c>
      <c r="O32" s="46" t="s">
        <v>10</v>
      </c>
      <c r="P32" s="48"/>
      <c r="Q32" s="48"/>
      <c r="R32" s="49" t="s">
        <v>19</v>
      </c>
      <c r="S32" s="50" t="s">
        <v>247</v>
      </c>
      <c r="T32" s="51" t="str">
        <f>IF(COUNTIF(F32:R32,"A")&gt;1,"⚠ Multi-A",IF(COUNTIF(F32:R32,"A")=0,"⚠ No A",IF(COUNTIF(F32:R32,"R")=0,"⚠ No R","✅ OK")))</f>
        <v>✅ OK</v>
      </c>
    </row>
    <row r="33" spans="1:20" ht="21.75" customHeight="1" x14ac:dyDescent="0.25">
      <c r="A33" s="58" t="s">
        <v>238</v>
      </c>
      <c r="B33" s="70">
        <v>4.4000000000000004</v>
      </c>
      <c r="C33" s="42" t="s">
        <v>248</v>
      </c>
      <c r="D33" s="43" t="s">
        <v>178</v>
      </c>
      <c r="E33" s="77" t="s">
        <v>249</v>
      </c>
      <c r="F33" s="49" t="s">
        <v>19</v>
      </c>
      <c r="G33" s="47" t="s">
        <v>16</v>
      </c>
      <c r="H33" s="45" t="s">
        <v>13</v>
      </c>
      <c r="I33" s="47" t="s">
        <v>16</v>
      </c>
      <c r="J33" s="47" t="s">
        <v>16</v>
      </c>
      <c r="K33" s="48"/>
      <c r="L33" s="48"/>
      <c r="M33" s="48"/>
      <c r="N33" s="46" t="s">
        <v>10</v>
      </c>
      <c r="O33" s="46" t="s">
        <v>10</v>
      </c>
      <c r="P33" s="48"/>
      <c r="Q33" s="48"/>
      <c r="R33" s="49" t="s">
        <v>19</v>
      </c>
      <c r="S33" s="50" t="s">
        <v>250</v>
      </c>
      <c r="T33" s="51" t="str">
        <f>IF(COUNTIF(F33:R33,"A")&gt;1,"⚠ Multi-A",IF(COUNTIF(F33:R33,"A")=0,"⚠ No A",IF(COUNTIF(F33:R33,"R")=0,"⚠ No R","✅ OK")))</f>
        <v>✅ OK</v>
      </c>
    </row>
    <row r="34" spans="1:20" ht="21.75" customHeight="1" x14ac:dyDescent="0.25">
      <c r="A34" s="58" t="s">
        <v>238</v>
      </c>
      <c r="B34" s="70">
        <v>4.5</v>
      </c>
      <c r="C34" s="42" t="s">
        <v>251</v>
      </c>
      <c r="D34" s="43" t="s">
        <v>178</v>
      </c>
      <c r="E34" s="77" t="s">
        <v>252</v>
      </c>
      <c r="F34" s="49" t="s">
        <v>19</v>
      </c>
      <c r="G34" s="47" t="s">
        <v>16</v>
      </c>
      <c r="H34" s="46" t="s">
        <v>10</v>
      </c>
      <c r="I34" s="47" t="s">
        <v>16</v>
      </c>
      <c r="J34" s="47" t="s">
        <v>16</v>
      </c>
      <c r="K34" s="45" t="s">
        <v>13</v>
      </c>
      <c r="L34" s="48"/>
      <c r="M34" s="47" t="s">
        <v>16</v>
      </c>
      <c r="N34" s="46" t="s">
        <v>10</v>
      </c>
      <c r="O34" s="46" t="s">
        <v>10</v>
      </c>
      <c r="P34" s="48"/>
      <c r="Q34" s="48"/>
      <c r="R34" s="49" t="s">
        <v>19</v>
      </c>
      <c r="S34" s="50" t="s">
        <v>253</v>
      </c>
      <c r="T34" s="51" t="str">
        <f>IF(COUNTIF(F34:R34,"A")&gt;1,"⚠ Multi-A",IF(COUNTIF(F34:R34,"A")=0,"⚠ No A",IF(COUNTIF(F34:R34,"R")=0,"⚠ No R","✅ OK")))</f>
        <v>✅ OK</v>
      </c>
    </row>
    <row r="35" spans="1:20" ht="19.5" customHeight="1" x14ac:dyDescent="0.25">
      <c r="A35" s="59" t="s">
        <v>254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</row>
    <row r="36" spans="1:20" ht="21.75" customHeight="1" x14ac:dyDescent="0.25">
      <c r="A36" s="60" t="s">
        <v>255</v>
      </c>
      <c r="B36" s="71">
        <v>5.0999999999999996</v>
      </c>
      <c r="C36" s="42" t="s">
        <v>256</v>
      </c>
      <c r="D36" s="43" t="s">
        <v>178</v>
      </c>
      <c r="E36" s="77" t="s">
        <v>257</v>
      </c>
      <c r="F36" s="49" t="s">
        <v>19</v>
      </c>
      <c r="G36" s="47" t="s">
        <v>16</v>
      </c>
      <c r="H36" s="46" t="s">
        <v>10</v>
      </c>
      <c r="I36" s="47" t="s">
        <v>16</v>
      </c>
      <c r="J36" s="45" t="s">
        <v>13</v>
      </c>
      <c r="K36" s="48"/>
      <c r="L36" s="48"/>
      <c r="M36" s="48"/>
      <c r="N36" s="46" t="s">
        <v>10</v>
      </c>
      <c r="O36" s="46" t="s">
        <v>10</v>
      </c>
      <c r="P36" s="48"/>
      <c r="Q36" s="48"/>
      <c r="R36" s="49" t="s">
        <v>19</v>
      </c>
      <c r="S36" s="50" t="s">
        <v>258</v>
      </c>
      <c r="T36" s="51" t="str">
        <f t="shared" ref="T36:T41" si="2">IF(COUNTIF(F36:R36,"A")&gt;1,"⚠ Multi-A",IF(COUNTIF(F36:R36,"A")=0,"⚠ No A",IF(COUNTIF(F36:R36,"R")=0,"⚠ No R","✅ OK")))</f>
        <v>✅ OK</v>
      </c>
    </row>
    <row r="37" spans="1:20" ht="21.75" customHeight="1" x14ac:dyDescent="0.25">
      <c r="A37" s="60" t="s">
        <v>255</v>
      </c>
      <c r="B37" s="71">
        <v>5.2</v>
      </c>
      <c r="C37" s="42" t="s">
        <v>259</v>
      </c>
      <c r="D37" s="52" t="s">
        <v>194</v>
      </c>
      <c r="E37" s="77" t="s">
        <v>260</v>
      </c>
      <c r="F37" s="49" t="s">
        <v>19</v>
      </c>
      <c r="G37" s="47" t="s">
        <v>16</v>
      </c>
      <c r="H37" s="45" t="s">
        <v>13</v>
      </c>
      <c r="I37" s="48"/>
      <c r="J37" s="46" t="s">
        <v>10</v>
      </c>
      <c r="K37" s="48"/>
      <c r="L37" s="48"/>
      <c r="M37" s="48"/>
      <c r="N37" s="46" t="s">
        <v>10</v>
      </c>
      <c r="O37" s="46" t="s">
        <v>10</v>
      </c>
      <c r="P37" s="48"/>
      <c r="Q37" s="48"/>
      <c r="R37" s="49" t="s">
        <v>19</v>
      </c>
      <c r="S37" s="50" t="s">
        <v>261</v>
      </c>
      <c r="T37" s="51" t="str">
        <f t="shared" si="2"/>
        <v>✅ OK</v>
      </c>
    </row>
    <row r="38" spans="1:20" ht="21.75" customHeight="1" x14ac:dyDescent="0.25">
      <c r="A38" s="60" t="s">
        <v>255</v>
      </c>
      <c r="B38" s="71">
        <v>5.3</v>
      </c>
      <c r="C38" s="42" t="s">
        <v>262</v>
      </c>
      <c r="D38" s="43" t="s">
        <v>178</v>
      </c>
      <c r="E38" s="77" t="s">
        <v>263</v>
      </c>
      <c r="F38" s="49" t="s">
        <v>19</v>
      </c>
      <c r="G38" s="47" t="s">
        <v>16</v>
      </c>
      <c r="H38" s="46" t="s">
        <v>10</v>
      </c>
      <c r="I38" s="48"/>
      <c r="J38" s="47" t="s">
        <v>16</v>
      </c>
      <c r="K38" s="48"/>
      <c r="L38" s="48"/>
      <c r="M38" s="45" t="s">
        <v>13</v>
      </c>
      <c r="N38" s="46" t="s">
        <v>10</v>
      </c>
      <c r="O38" s="46" t="s">
        <v>10</v>
      </c>
      <c r="P38" s="48"/>
      <c r="Q38" s="48"/>
      <c r="R38" s="49" t="s">
        <v>19</v>
      </c>
      <c r="S38" s="50" t="s">
        <v>264</v>
      </c>
      <c r="T38" s="51" t="str">
        <f t="shared" si="2"/>
        <v>✅ OK</v>
      </c>
    </row>
    <row r="39" spans="1:20" ht="21.75" customHeight="1" x14ac:dyDescent="0.25">
      <c r="A39" s="60" t="s">
        <v>255</v>
      </c>
      <c r="B39" s="71">
        <v>5.4</v>
      </c>
      <c r="C39" s="42" t="s">
        <v>265</v>
      </c>
      <c r="D39" s="43" t="s">
        <v>178</v>
      </c>
      <c r="E39" s="77" t="s">
        <v>266</v>
      </c>
      <c r="F39" s="49" t="s">
        <v>19</v>
      </c>
      <c r="G39" s="47" t="s">
        <v>16</v>
      </c>
      <c r="H39" s="46" t="s">
        <v>10</v>
      </c>
      <c r="I39" s="47" t="s">
        <v>16</v>
      </c>
      <c r="J39" s="45" t="s">
        <v>13</v>
      </c>
      <c r="K39" s="48"/>
      <c r="L39" s="48"/>
      <c r="M39" s="48"/>
      <c r="N39" s="46" t="s">
        <v>10</v>
      </c>
      <c r="O39" s="46" t="s">
        <v>10</v>
      </c>
      <c r="P39" s="48"/>
      <c r="Q39" s="48"/>
      <c r="R39" s="49" t="s">
        <v>19</v>
      </c>
      <c r="S39" s="50" t="s">
        <v>267</v>
      </c>
      <c r="T39" s="51" t="str">
        <f t="shared" si="2"/>
        <v>✅ OK</v>
      </c>
    </row>
    <row r="40" spans="1:20" ht="21.75" customHeight="1" x14ac:dyDescent="0.25">
      <c r="A40" s="60" t="s">
        <v>255</v>
      </c>
      <c r="B40" s="71">
        <v>5.5</v>
      </c>
      <c r="C40" s="42" t="s">
        <v>268</v>
      </c>
      <c r="D40" s="43" t="s">
        <v>178</v>
      </c>
      <c r="E40" s="77" t="s">
        <v>269</v>
      </c>
      <c r="F40" s="49" t="s">
        <v>19</v>
      </c>
      <c r="G40" s="46" t="s">
        <v>10</v>
      </c>
      <c r="H40" s="47" t="s">
        <v>16</v>
      </c>
      <c r="I40" s="46" t="s">
        <v>10</v>
      </c>
      <c r="J40" s="47" t="s">
        <v>16</v>
      </c>
      <c r="K40" s="47" t="s">
        <v>16</v>
      </c>
      <c r="L40" s="47" t="s">
        <v>16</v>
      </c>
      <c r="M40" s="48"/>
      <c r="N40" s="49" t="s">
        <v>19</v>
      </c>
      <c r="O40" s="48"/>
      <c r="P40" s="48"/>
      <c r="Q40" s="45" t="s">
        <v>13</v>
      </c>
      <c r="R40" s="49" t="s">
        <v>19</v>
      </c>
      <c r="S40" s="50" t="s">
        <v>270</v>
      </c>
      <c r="T40" s="51" t="str">
        <f t="shared" si="2"/>
        <v>✅ OK</v>
      </c>
    </row>
    <row r="41" spans="1:20" ht="21.75" customHeight="1" x14ac:dyDescent="0.25">
      <c r="A41" s="60" t="s">
        <v>255</v>
      </c>
      <c r="B41" s="71">
        <v>5.6</v>
      </c>
      <c r="C41" s="42" t="s">
        <v>271</v>
      </c>
      <c r="D41" s="43" t="s">
        <v>178</v>
      </c>
      <c r="E41" s="77" t="s">
        <v>272</v>
      </c>
      <c r="F41" s="45" t="s">
        <v>13</v>
      </c>
      <c r="G41" s="46" t="s">
        <v>10</v>
      </c>
      <c r="H41" s="47" t="s">
        <v>16</v>
      </c>
      <c r="I41" s="47" t="s">
        <v>16</v>
      </c>
      <c r="J41" s="47" t="s">
        <v>16</v>
      </c>
      <c r="K41" s="47" t="s">
        <v>16</v>
      </c>
      <c r="L41" s="48"/>
      <c r="M41" s="48"/>
      <c r="N41" s="49" t="s">
        <v>19</v>
      </c>
      <c r="O41" s="48"/>
      <c r="P41" s="48"/>
      <c r="Q41" s="47" t="s">
        <v>16</v>
      </c>
      <c r="R41" s="49" t="s">
        <v>19</v>
      </c>
      <c r="S41" s="50" t="s">
        <v>273</v>
      </c>
      <c r="T41" s="51" t="str">
        <f t="shared" si="2"/>
        <v>✅ OK</v>
      </c>
    </row>
    <row r="42" spans="1:20" ht="19.5" customHeight="1" x14ac:dyDescent="0.25">
      <c r="A42" s="61" t="s">
        <v>274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</row>
    <row r="43" spans="1:20" ht="21.75" customHeight="1" x14ac:dyDescent="0.25">
      <c r="A43" s="62" t="s">
        <v>275</v>
      </c>
      <c r="B43" s="72">
        <v>6.1</v>
      </c>
      <c r="C43" s="42" t="s">
        <v>276</v>
      </c>
      <c r="D43" s="43" t="s">
        <v>178</v>
      </c>
      <c r="E43" s="77" t="s">
        <v>277</v>
      </c>
      <c r="F43" s="49" t="s">
        <v>19</v>
      </c>
      <c r="G43" s="47" t="s">
        <v>16</v>
      </c>
      <c r="H43" s="46" t="s">
        <v>10</v>
      </c>
      <c r="I43" s="47" t="s">
        <v>16</v>
      </c>
      <c r="J43" s="47" t="s">
        <v>16</v>
      </c>
      <c r="K43" s="45" t="s">
        <v>13</v>
      </c>
      <c r="L43" s="48"/>
      <c r="M43" s="47" t="s">
        <v>16</v>
      </c>
      <c r="N43" s="46" t="s">
        <v>10</v>
      </c>
      <c r="O43" s="46" t="s">
        <v>10</v>
      </c>
      <c r="P43" s="48"/>
      <c r="Q43" s="48"/>
      <c r="R43" s="49" t="s">
        <v>19</v>
      </c>
      <c r="S43" s="50" t="s">
        <v>278</v>
      </c>
      <c r="T43" s="51" t="str">
        <f>IF(COUNTIF(F43:R43,"A")&gt;1,"⚠ Multi-A",IF(COUNTIF(F43:R43,"A")=0,"⚠ No A",IF(COUNTIF(F43:R43,"R")=0,"⚠ No R","✅ OK")))</f>
        <v>✅ OK</v>
      </c>
    </row>
    <row r="44" spans="1:20" ht="21.75" customHeight="1" x14ac:dyDescent="0.25">
      <c r="A44" s="62" t="s">
        <v>275</v>
      </c>
      <c r="B44" s="72">
        <v>6.2</v>
      </c>
      <c r="C44" s="42" t="s">
        <v>279</v>
      </c>
      <c r="D44" s="43" t="s">
        <v>178</v>
      </c>
      <c r="E44" s="77" t="s">
        <v>280</v>
      </c>
      <c r="F44" s="49" t="s">
        <v>19</v>
      </c>
      <c r="G44" s="47" t="s">
        <v>16</v>
      </c>
      <c r="H44" s="46" t="s">
        <v>10</v>
      </c>
      <c r="I44" s="47" t="s">
        <v>16</v>
      </c>
      <c r="J44" s="46" t="s">
        <v>10</v>
      </c>
      <c r="K44" s="45" t="s">
        <v>13</v>
      </c>
      <c r="L44" s="48"/>
      <c r="M44" s="48"/>
      <c r="N44" s="46" t="s">
        <v>10</v>
      </c>
      <c r="O44" s="46" t="s">
        <v>10</v>
      </c>
      <c r="P44" s="48"/>
      <c r="Q44" s="48"/>
      <c r="R44" s="49" t="s">
        <v>19</v>
      </c>
      <c r="S44" s="50" t="s">
        <v>281</v>
      </c>
      <c r="T44" s="51" t="str">
        <f>IF(COUNTIF(F44:R44,"A")&gt;1,"⚠ Multi-A",IF(COUNTIF(F44:R44,"A")=0,"⚠ No A",IF(COUNTIF(F44:R44,"R")=0,"⚠ No R","✅ OK")))</f>
        <v>✅ OK</v>
      </c>
    </row>
    <row r="45" spans="1:20" ht="21.75" customHeight="1" x14ac:dyDescent="0.25">
      <c r="A45" s="62" t="s">
        <v>275</v>
      </c>
      <c r="B45" s="72">
        <v>6.3</v>
      </c>
      <c r="C45" s="42" t="s">
        <v>282</v>
      </c>
      <c r="D45" s="43" t="s">
        <v>178</v>
      </c>
      <c r="E45" s="77" t="s">
        <v>283</v>
      </c>
      <c r="F45" s="49" t="s">
        <v>19</v>
      </c>
      <c r="G45" s="47" t="s">
        <v>16</v>
      </c>
      <c r="H45" s="46" t="s">
        <v>10</v>
      </c>
      <c r="I45" s="47" t="s">
        <v>16</v>
      </c>
      <c r="J45" s="46" t="s">
        <v>10</v>
      </c>
      <c r="K45" s="45" t="s">
        <v>13</v>
      </c>
      <c r="L45" s="48"/>
      <c r="M45" s="48"/>
      <c r="N45" s="46" t="s">
        <v>10</v>
      </c>
      <c r="O45" s="46" t="s">
        <v>10</v>
      </c>
      <c r="P45" s="48"/>
      <c r="Q45" s="48"/>
      <c r="R45" s="49" t="s">
        <v>19</v>
      </c>
      <c r="S45" s="50" t="s">
        <v>284</v>
      </c>
      <c r="T45" s="51" t="str">
        <f>IF(COUNTIF(F45:R45,"A")&gt;1,"⚠ Multi-A",IF(COUNTIF(F45:R45,"A")=0,"⚠ No A",IF(COUNTIF(F45:R45,"R")=0,"⚠ No R","✅ OK")))</f>
        <v>✅ OK</v>
      </c>
    </row>
    <row r="46" spans="1:20" ht="21.75" customHeight="1" x14ac:dyDescent="0.25">
      <c r="A46" s="62" t="s">
        <v>275</v>
      </c>
      <c r="B46" s="72">
        <v>6.4</v>
      </c>
      <c r="C46" s="42" t="s">
        <v>285</v>
      </c>
      <c r="D46" s="43" t="s">
        <v>178</v>
      </c>
      <c r="E46" s="77" t="s">
        <v>286</v>
      </c>
      <c r="F46" s="49" t="s">
        <v>19</v>
      </c>
      <c r="G46" s="46" t="s">
        <v>10</v>
      </c>
      <c r="H46" s="47" t="s">
        <v>16</v>
      </c>
      <c r="I46" s="47" t="s">
        <v>16</v>
      </c>
      <c r="J46" s="47" t="s">
        <v>16</v>
      </c>
      <c r="K46" s="45" t="s">
        <v>13</v>
      </c>
      <c r="L46" s="48"/>
      <c r="M46" s="48"/>
      <c r="N46" s="49" t="s">
        <v>19</v>
      </c>
      <c r="O46" s="48"/>
      <c r="P46" s="48"/>
      <c r="Q46" s="47" t="s">
        <v>16</v>
      </c>
      <c r="R46" s="49" t="s">
        <v>19</v>
      </c>
      <c r="S46" s="50" t="s">
        <v>287</v>
      </c>
      <c r="T46" s="51" t="str">
        <f>IF(COUNTIF(F46:R46,"A")&gt;1,"⚠ Multi-A",IF(COUNTIF(F46:R46,"A")=0,"⚠ No A",IF(COUNTIF(F46:R46,"R")=0,"⚠ No R","✅ OK")))</f>
        <v>✅ OK</v>
      </c>
    </row>
    <row r="47" spans="1:20" ht="21.75" customHeight="1" x14ac:dyDescent="0.25">
      <c r="A47" s="62" t="s">
        <v>275</v>
      </c>
      <c r="B47" s="72">
        <v>6.5</v>
      </c>
      <c r="C47" s="42" t="s">
        <v>288</v>
      </c>
      <c r="D47" s="43" t="s">
        <v>178</v>
      </c>
      <c r="E47" s="77" t="s">
        <v>289</v>
      </c>
      <c r="F47" s="45" t="s">
        <v>13</v>
      </c>
      <c r="G47" s="46" t="s">
        <v>10</v>
      </c>
      <c r="H47" s="46" t="s">
        <v>10</v>
      </c>
      <c r="I47" s="48"/>
      <c r="J47" s="48"/>
      <c r="K47" s="47" t="s">
        <v>16</v>
      </c>
      <c r="L47" s="48"/>
      <c r="M47" s="48"/>
      <c r="N47" s="46" t="s">
        <v>10</v>
      </c>
      <c r="O47" s="46" t="s">
        <v>10</v>
      </c>
      <c r="P47" s="48"/>
      <c r="Q47" s="48"/>
      <c r="R47" s="49" t="s">
        <v>19</v>
      </c>
      <c r="S47" s="50" t="s">
        <v>290</v>
      </c>
      <c r="T47" s="51" t="str">
        <f>IF(COUNTIF(F47:R47,"A")&gt;1,"⚠ Multi-A",IF(COUNTIF(F47:R47,"A")=0,"⚠ No A",IF(COUNTIF(F47:R47,"R")=0,"⚠ No R","✅ OK")))</f>
        <v>✅ OK</v>
      </c>
    </row>
    <row r="48" spans="1:20" ht="19.5" customHeight="1" x14ac:dyDescent="0.25">
      <c r="A48" s="63" t="s">
        <v>291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</row>
    <row r="49" spans="1:20" ht="21.75" customHeight="1" x14ac:dyDescent="0.25">
      <c r="A49" s="41" t="s">
        <v>292</v>
      </c>
      <c r="B49" s="67">
        <v>7.1</v>
      </c>
      <c r="C49" s="42" t="s">
        <v>293</v>
      </c>
      <c r="D49" s="43" t="s">
        <v>178</v>
      </c>
      <c r="E49" s="77" t="s">
        <v>294</v>
      </c>
      <c r="F49" s="45" t="s">
        <v>13</v>
      </c>
      <c r="G49" s="46" t="s">
        <v>10</v>
      </c>
      <c r="H49" s="47" t="s">
        <v>16</v>
      </c>
      <c r="I49" s="47" t="s">
        <v>16</v>
      </c>
      <c r="J49" s="47" t="s">
        <v>16</v>
      </c>
      <c r="K49" s="47" t="s">
        <v>16</v>
      </c>
      <c r="L49" s="47" t="s">
        <v>16</v>
      </c>
      <c r="M49" s="47" t="s">
        <v>16</v>
      </c>
      <c r="N49" s="47" t="s">
        <v>16</v>
      </c>
      <c r="O49" s="48"/>
      <c r="P49" s="48"/>
      <c r="Q49" s="48"/>
      <c r="R49" s="47" t="s">
        <v>16</v>
      </c>
      <c r="S49" s="50" t="s">
        <v>295</v>
      </c>
      <c r="T49" s="51" t="str">
        <f>IF(COUNTIF(F49:R49,"A")&gt;1,"⚠ Multi-A",IF(COUNTIF(F49:R49,"A")=0,"⚠ No A",IF(COUNTIF(F49:R49,"R")=0,"⚠ No R","✅ OK")))</f>
        <v>✅ OK</v>
      </c>
    </row>
    <row r="50" spans="1:20" ht="21.75" customHeight="1" x14ac:dyDescent="0.25">
      <c r="A50" s="41" t="s">
        <v>292</v>
      </c>
      <c r="B50" s="67">
        <v>7.2</v>
      </c>
      <c r="C50" s="42" t="s">
        <v>296</v>
      </c>
      <c r="D50" s="43" t="s">
        <v>178</v>
      </c>
      <c r="E50" s="77" t="s">
        <v>297</v>
      </c>
      <c r="F50" s="49" t="s">
        <v>19</v>
      </c>
      <c r="G50" s="45" t="s">
        <v>13</v>
      </c>
      <c r="H50" s="46" t="s">
        <v>10</v>
      </c>
      <c r="I50" s="47" t="s">
        <v>16</v>
      </c>
      <c r="J50" s="47" t="s">
        <v>16</v>
      </c>
      <c r="K50" s="47" t="s">
        <v>16</v>
      </c>
      <c r="L50" s="46" t="s">
        <v>10</v>
      </c>
      <c r="M50" s="47" t="s">
        <v>16</v>
      </c>
      <c r="N50" s="46" t="s">
        <v>10</v>
      </c>
      <c r="O50" s="46" t="s">
        <v>10</v>
      </c>
      <c r="P50" s="48"/>
      <c r="Q50" s="48"/>
      <c r="R50" s="49" t="s">
        <v>19</v>
      </c>
      <c r="S50" s="50" t="s">
        <v>298</v>
      </c>
      <c r="T50" s="51" t="str">
        <f>IF(COUNTIF(F50:R50,"A")&gt;1,"⚠ Multi-A",IF(COUNTIF(F50:R50,"A")=0,"⚠ No A",IF(COUNTIF(F50:R50,"R")=0,"⚠ No R","✅ OK")))</f>
        <v>✅ OK</v>
      </c>
    </row>
    <row r="51" spans="1:20" ht="21.75" customHeight="1" x14ac:dyDescent="0.25">
      <c r="A51" s="41" t="s">
        <v>292</v>
      </c>
      <c r="B51" s="67">
        <v>7.3</v>
      </c>
      <c r="C51" s="42" t="s">
        <v>299</v>
      </c>
      <c r="D51" s="43" t="s">
        <v>178</v>
      </c>
      <c r="E51" s="77" t="s">
        <v>300</v>
      </c>
      <c r="F51" s="49" t="s">
        <v>19</v>
      </c>
      <c r="G51" s="45" t="s">
        <v>13</v>
      </c>
      <c r="H51" s="46" t="s">
        <v>10</v>
      </c>
      <c r="I51" s="47" t="s">
        <v>16</v>
      </c>
      <c r="J51" s="46" t="s">
        <v>10</v>
      </c>
      <c r="K51" s="48"/>
      <c r="L51" s="47" t="s">
        <v>16</v>
      </c>
      <c r="M51" s="48"/>
      <c r="N51" s="46" t="s">
        <v>10</v>
      </c>
      <c r="O51" s="46" t="s">
        <v>10</v>
      </c>
      <c r="P51" s="48"/>
      <c r="Q51" s="48"/>
      <c r="R51" s="49" t="s">
        <v>19</v>
      </c>
      <c r="S51" s="50" t="s">
        <v>301</v>
      </c>
      <c r="T51" s="51" t="str">
        <f>IF(COUNTIF(F51:R51,"A")&gt;1,"⚠ Multi-A",IF(COUNTIF(F51:R51,"A")=0,"⚠ No A",IF(COUNTIF(F51:R51,"R")=0,"⚠ No R","✅ OK")))</f>
        <v>✅ OK</v>
      </c>
    </row>
    <row r="52" spans="1:20" ht="21.75" customHeight="1" x14ac:dyDescent="0.25">
      <c r="A52" s="41" t="s">
        <v>292</v>
      </c>
      <c r="B52" s="67">
        <v>7.4</v>
      </c>
      <c r="C52" s="42" t="s">
        <v>302</v>
      </c>
      <c r="D52" s="52" t="s">
        <v>194</v>
      </c>
      <c r="E52" s="77" t="s">
        <v>303</v>
      </c>
      <c r="F52" s="49" t="s">
        <v>19</v>
      </c>
      <c r="G52" s="47" t="s">
        <v>16</v>
      </c>
      <c r="H52" s="48"/>
      <c r="I52" s="47" t="s">
        <v>16</v>
      </c>
      <c r="J52" s="48"/>
      <c r="K52" s="48"/>
      <c r="L52" s="45" t="s">
        <v>13</v>
      </c>
      <c r="M52" s="48"/>
      <c r="N52" s="49" t="s">
        <v>19</v>
      </c>
      <c r="O52" s="48"/>
      <c r="P52" s="48"/>
      <c r="Q52" s="47" t="s">
        <v>16</v>
      </c>
      <c r="R52" s="49" t="s">
        <v>19</v>
      </c>
      <c r="S52" s="50" t="s">
        <v>304</v>
      </c>
      <c r="T52" s="51" t="str">
        <f>IF(COUNTIF(F52:R52,"A")&gt;1,"⚠ Multi-A",IF(COUNTIF(F52:R52,"A")=0,"⚠ No A",IF(COUNTIF(F52:R52,"R")=0,"⚠ No R","✅ OK")))</f>
        <v>⚠ No R</v>
      </c>
    </row>
    <row r="53" spans="1:20" ht="21.75" customHeight="1" x14ac:dyDescent="0.25">
      <c r="A53" s="41" t="s">
        <v>292</v>
      </c>
      <c r="B53" s="67">
        <v>7.5</v>
      </c>
      <c r="C53" s="42" t="s">
        <v>305</v>
      </c>
      <c r="D53" s="52" t="s">
        <v>194</v>
      </c>
      <c r="E53" s="77" t="s">
        <v>306</v>
      </c>
      <c r="F53" s="49" t="s">
        <v>19</v>
      </c>
      <c r="G53" s="47" t="s">
        <v>16</v>
      </c>
      <c r="H53" s="48"/>
      <c r="I53" s="47" t="s">
        <v>16</v>
      </c>
      <c r="J53" s="48"/>
      <c r="K53" s="48"/>
      <c r="L53" s="45" t="s">
        <v>13</v>
      </c>
      <c r="M53" s="48"/>
      <c r="N53" s="49" t="s">
        <v>19</v>
      </c>
      <c r="O53" s="48"/>
      <c r="P53" s="48"/>
      <c r="Q53" s="49" t="s">
        <v>19</v>
      </c>
      <c r="R53" s="49" t="s">
        <v>19</v>
      </c>
      <c r="S53" s="50" t="s">
        <v>307</v>
      </c>
      <c r="T53" s="51" t="str">
        <f>IF(COUNTIF(F53:R53,"A")&gt;1,"⚠ Multi-A",IF(COUNTIF(F53:R53,"A")=0,"⚠ No A",IF(COUNTIF(F53:R53,"R")=0,"⚠ No R","✅ OK")))</f>
        <v>⚠ No R</v>
      </c>
    </row>
    <row r="54" spans="1:20" ht="19.5" customHeight="1" x14ac:dyDescent="0.25">
      <c r="A54" s="64" t="s">
        <v>308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</row>
    <row r="55" spans="1:20" ht="21.75" customHeight="1" x14ac:dyDescent="0.25">
      <c r="A55" s="65" t="s">
        <v>309</v>
      </c>
      <c r="B55" s="73">
        <v>8.1</v>
      </c>
      <c r="C55" s="42" t="s">
        <v>310</v>
      </c>
      <c r="D55" s="43" t="s">
        <v>178</v>
      </c>
      <c r="E55" s="77" t="s">
        <v>311</v>
      </c>
      <c r="F55" s="49" t="s">
        <v>19</v>
      </c>
      <c r="G55" s="45" t="s">
        <v>13</v>
      </c>
      <c r="H55" s="46" t="s">
        <v>10</v>
      </c>
      <c r="I55" s="47" t="s">
        <v>16</v>
      </c>
      <c r="J55" s="46" t="s">
        <v>10</v>
      </c>
      <c r="K55" s="48"/>
      <c r="L55" s="47" t="s">
        <v>16</v>
      </c>
      <c r="M55" s="47" t="s">
        <v>16</v>
      </c>
      <c r="N55" s="46" t="s">
        <v>10</v>
      </c>
      <c r="O55" s="46" t="s">
        <v>10</v>
      </c>
      <c r="P55" s="48"/>
      <c r="Q55" s="47" t="s">
        <v>16</v>
      </c>
      <c r="R55" s="49" t="s">
        <v>19</v>
      </c>
      <c r="S55" s="50" t="s">
        <v>312</v>
      </c>
      <c r="T55" s="51" t="str">
        <f>IF(COUNTIF(F55:R55,"A")&gt;1,"⚠ Multi-A",IF(COUNTIF(F55:R55,"A")=0,"⚠ No A",IF(COUNTIF(F55:R55,"R")=0,"⚠ No R","✅ OK")))</f>
        <v>✅ OK</v>
      </c>
    </row>
    <row r="56" spans="1:20" ht="21.75" customHeight="1" x14ac:dyDescent="0.25">
      <c r="A56" s="65" t="s">
        <v>309</v>
      </c>
      <c r="B56" s="73">
        <v>8.1999999999999993</v>
      </c>
      <c r="C56" s="42" t="s">
        <v>313</v>
      </c>
      <c r="D56" s="52" t="s">
        <v>194</v>
      </c>
      <c r="E56" s="77" t="s">
        <v>314</v>
      </c>
      <c r="F56" s="45" t="s">
        <v>13</v>
      </c>
      <c r="G56" s="46" t="s">
        <v>10</v>
      </c>
      <c r="H56" s="47" t="s">
        <v>16</v>
      </c>
      <c r="I56" s="47" t="s">
        <v>16</v>
      </c>
      <c r="J56" s="48"/>
      <c r="K56" s="47" t="s">
        <v>16</v>
      </c>
      <c r="L56" s="47" t="s">
        <v>16</v>
      </c>
      <c r="M56" s="48"/>
      <c r="N56" s="49" t="s">
        <v>19</v>
      </c>
      <c r="O56" s="48"/>
      <c r="P56" s="48"/>
      <c r="Q56" s="48"/>
      <c r="R56" s="47" t="s">
        <v>16</v>
      </c>
      <c r="S56" s="50" t="s">
        <v>315</v>
      </c>
      <c r="T56" s="51" t="str">
        <f>IF(COUNTIF(F56:R56,"A")&gt;1,"⚠ Multi-A",IF(COUNTIF(F56:R56,"A")=0,"⚠ No A",IF(COUNTIF(F56:R56,"R")=0,"⚠ No R","✅ OK")))</f>
        <v>✅ OK</v>
      </c>
    </row>
    <row r="57" spans="1:20" ht="21.75" customHeight="1" x14ac:dyDescent="0.25">
      <c r="A57" s="65" t="s">
        <v>309</v>
      </c>
      <c r="B57" s="73">
        <v>8.3000000000000007</v>
      </c>
      <c r="C57" s="42" t="s">
        <v>316</v>
      </c>
      <c r="D57" s="66" t="s">
        <v>317</v>
      </c>
      <c r="E57" s="77" t="s">
        <v>318</v>
      </c>
      <c r="F57" s="49" t="s">
        <v>19</v>
      </c>
      <c r="G57" s="45" t="s">
        <v>13</v>
      </c>
      <c r="H57" s="46" t="s">
        <v>10</v>
      </c>
      <c r="I57" s="46" t="s">
        <v>10</v>
      </c>
      <c r="J57" s="46" t="s">
        <v>10</v>
      </c>
      <c r="K57" s="47" t="s">
        <v>16</v>
      </c>
      <c r="L57" s="46" t="s">
        <v>10</v>
      </c>
      <c r="M57" s="47" t="s">
        <v>16</v>
      </c>
      <c r="N57" s="46" t="s">
        <v>10</v>
      </c>
      <c r="O57" s="48"/>
      <c r="P57" s="48"/>
      <c r="Q57" s="47" t="s">
        <v>16</v>
      </c>
      <c r="R57" s="47" t="s">
        <v>16</v>
      </c>
      <c r="S57" s="50" t="s">
        <v>319</v>
      </c>
      <c r="T57" s="51" t="str">
        <f>IF(COUNTIF(F57:R57,"A")&gt;1,"⚠ Multi-A",IF(COUNTIF(F57:R57,"A")=0,"⚠ No A",IF(COUNTIF(F57:R57,"R")=0,"⚠ No R","✅ OK")))</f>
        <v>✅ OK</v>
      </c>
    </row>
    <row r="58" spans="1:20" ht="21.75" customHeight="1" x14ac:dyDescent="0.25">
      <c r="A58" s="65" t="s">
        <v>309</v>
      </c>
      <c r="B58" s="73">
        <v>8.4</v>
      </c>
      <c r="C58" s="42" t="s">
        <v>320</v>
      </c>
      <c r="D58" s="52" t="s">
        <v>194</v>
      </c>
      <c r="E58" s="77" t="s">
        <v>321</v>
      </c>
      <c r="F58" s="45" t="s">
        <v>13</v>
      </c>
      <c r="G58" s="46" t="s">
        <v>10</v>
      </c>
      <c r="H58" s="47" t="s">
        <v>16</v>
      </c>
      <c r="I58" s="47" t="s">
        <v>16</v>
      </c>
      <c r="J58" s="47" t="s">
        <v>16</v>
      </c>
      <c r="K58" s="47" t="s">
        <v>16</v>
      </c>
      <c r="L58" s="47" t="s">
        <v>16</v>
      </c>
      <c r="M58" s="48"/>
      <c r="N58" s="49" t="s">
        <v>19</v>
      </c>
      <c r="O58" s="48"/>
      <c r="P58" s="48"/>
      <c r="Q58" s="48"/>
      <c r="R58" s="47" t="s">
        <v>16</v>
      </c>
      <c r="S58" s="50" t="s">
        <v>322</v>
      </c>
      <c r="T58" s="51" t="str">
        <f>IF(COUNTIF(F58:R58,"A")&gt;1,"⚠ Multi-A",IF(COUNTIF(F58:R58,"A")=0,"⚠ No A",IF(COUNTIF(F58:R58,"R")=0,"⚠ No R","✅ OK")))</f>
        <v>✅ OK</v>
      </c>
    </row>
    <row r="59" spans="1:20" ht="21.75" customHeight="1" x14ac:dyDescent="0.25">
      <c r="A59" s="65" t="s">
        <v>309</v>
      </c>
      <c r="B59" s="73">
        <v>8.5</v>
      </c>
      <c r="C59" s="42" t="s">
        <v>323</v>
      </c>
      <c r="D59" s="52" t="s">
        <v>194</v>
      </c>
      <c r="E59" s="77" t="s">
        <v>324</v>
      </c>
      <c r="F59" s="45" t="s">
        <v>13</v>
      </c>
      <c r="G59" s="46" t="s">
        <v>10</v>
      </c>
      <c r="H59" s="48"/>
      <c r="I59" s="48"/>
      <c r="J59" s="47" t="s">
        <v>16</v>
      </c>
      <c r="K59" s="47" t="s">
        <v>16</v>
      </c>
      <c r="L59" s="48"/>
      <c r="M59" s="48"/>
      <c r="N59" s="46" t="s">
        <v>10</v>
      </c>
      <c r="O59" s="48"/>
      <c r="P59" s="47" t="s">
        <v>16</v>
      </c>
      <c r="Q59" s="48"/>
      <c r="R59" s="49" t="s">
        <v>19</v>
      </c>
      <c r="S59" s="50" t="s">
        <v>325</v>
      </c>
      <c r="T59" s="51" t="str">
        <f>IF(COUNTIF(F59:R59,"A")&gt;1,"⚠ Multi-A",IF(COUNTIF(F59:R59,"A")=0,"⚠ No A",IF(COUNTIF(F59:R59,"R")=0,"⚠ No R","✅ OK")))</f>
        <v>✅ OK</v>
      </c>
    </row>
  </sheetData>
  <autoFilter ref="A7:T59" xr:uid="{00000000-0009-0000-0000-000002000000}"/>
  <mergeCells count="32">
    <mergeCell ref="A54:T54"/>
    <mergeCell ref="A24:T24"/>
    <mergeCell ref="A29:T29"/>
    <mergeCell ref="A35:T35"/>
    <mergeCell ref="A42:T42"/>
    <mergeCell ref="A48:T48"/>
    <mergeCell ref="R6:R7"/>
    <mergeCell ref="S6:S7"/>
    <mergeCell ref="T6:T7"/>
    <mergeCell ref="A8:T8"/>
    <mergeCell ref="A16:T16"/>
    <mergeCell ref="M6:M7"/>
    <mergeCell ref="N6:N7"/>
    <mergeCell ref="O6:O7"/>
    <mergeCell ref="P6:P7"/>
    <mergeCell ref="Q6:Q7"/>
    <mergeCell ref="A1:T3"/>
    <mergeCell ref="A4:T4"/>
    <mergeCell ref="A5:B5"/>
    <mergeCell ref="L5:T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</mergeCells>
  <dataValidations count="2">
    <dataValidation type="list" allowBlank="1" sqref="F9:R15 F17:R23 F25:R28 F30:R34 F36:R41 F43:R47 F49:R53 F55:R59" xr:uid="{00000000-0002-0000-0200-000000000000}">
      <formula1>"R,A,C,I,—,"</formula1>
      <formula2>0</formula2>
    </dataValidation>
    <dataValidation type="list" allowBlank="1" sqref="D9:D15 D17:D23 D25:D28 D30:D34 D36:D41 D43:D47 D49:D53 D55:D59" xr:uid="{00000000-0002-0000-0200-000001000000}">
      <formula1>"🔴 High,🟡 Med,🟢 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145"/>
  </sheetPr>
  <dimension ref="B1:H3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3" sqref="B43"/>
    </sheetView>
  </sheetViews>
  <sheetFormatPr defaultColWidth="8.6640625" defaultRowHeight="13.8" x14ac:dyDescent="0.25"/>
  <cols>
    <col min="1" max="1" width="3" style="3" customWidth="1"/>
    <col min="2" max="2" width="32" style="3" customWidth="1"/>
    <col min="3" max="3" width="23.5546875" style="3" customWidth="1"/>
    <col min="4" max="4" width="22.33203125" style="3" customWidth="1"/>
    <col min="5" max="5" width="23.6640625" style="3" customWidth="1"/>
    <col min="6" max="7" width="18" style="3" customWidth="1"/>
    <col min="8" max="8" width="30" style="3" customWidth="1"/>
    <col min="9" max="16384" width="8.6640625" style="3"/>
  </cols>
  <sheetData>
    <row r="1" spans="2:8" ht="9.75" customHeight="1" x14ac:dyDescent="0.25">
      <c r="B1" s="79" t="s">
        <v>326</v>
      </c>
      <c r="C1" s="79"/>
      <c r="D1" s="79"/>
      <c r="E1" s="79"/>
      <c r="F1" s="79"/>
      <c r="G1" s="79"/>
      <c r="H1" s="79"/>
    </row>
    <row r="2" spans="2:8" ht="21.75" customHeight="1" x14ac:dyDescent="0.25">
      <c r="B2" s="79"/>
      <c r="C2" s="79"/>
      <c r="D2" s="79"/>
      <c r="E2" s="79"/>
      <c r="F2" s="79"/>
      <c r="G2" s="79"/>
      <c r="H2" s="79"/>
    </row>
    <row r="3" spans="2:8" ht="9.75" customHeight="1" x14ac:dyDescent="0.25">
      <c r="B3" s="79"/>
      <c r="C3" s="79"/>
      <c r="D3" s="79"/>
      <c r="E3" s="79"/>
      <c r="F3" s="79"/>
      <c r="G3" s="79"/>
      <c r="H3" s="79"/>
    </row>
    <row r="4" spans="2:8" ht="6.6" customHeight="1" x14ac:dyDescent="0.25"/>
    <row r="5" spans="2:8" ht="19.5" customHeight="1" x14ac:dyDescent="0.25">
      <c r="B5" s="5" t="s">
        <v>327</v>
      </c>
      <c r="C5" s="5"/>
      <c r="D5" s="5"/>
      <c r="E5" s="5"/>
      <c r="F5" s="5"/>
      <c r="G5" s="5"/>
      <c r="H5" s="5"/>
    </row>
    <row r="6" spans="2:8" ht="18" customHeight="1" x14ac:dyDescent="0.25">
      <c r="B6" s="80" t="s">
        <v>328</v>
      </c>
      <c r="C6" s="81">
        <f>COUNTIF('🎯 RACI Matrix'!T8:T59,"⚠ Multi-A")</f>
        <v>0</v>
      </c>
      <c r="D6" s="82" t="str">
        <f>IF(C6=0,"✅ GOOD","🚨 FIX NOW")</f>
        <v>✅ GOOD</v>
      </c>
      <c r="E6" s="83" t="s">
        <v>329</v>
      </c>
      <c r="F6" s="83"/>
      <c r="G6" s="83"/>
      <c r="H6" s="83"/>
    </row>
    <row r="7" spans="2:8" ht="18" customHeight="1" x14ac:dyDescent="0.25">
      <c r="B7" s="80" t="s">
        <v>330</v>
      </c>
      <c r="C7" s="81">
        <f>COUNTIF('🎯 RACI Matrix'!T8:T59,"⚠ No A")</f>
        <v>1</v>
      </c>
      <c r="D7" s="82" t="str">
        <f>IF(C7=0,"✅ GOOD","🚨 FIX NOW")</f>
        <v>🚨 FIX NOW</v>
      </c>
      <c r="E7" s="83" t="s">
        <v>331</v>
      </c>
      <c r="F7" s="83"/>
      <c r="G7" s="83"/>
      <c r="H7" s="83"/>
    </row>
    <row r="8" spans="2:8" ht="18" customHeight="1" x14ac:dyDescent="0.25">
      <c r="B8" s="80" t="s">
        <v>332</v>
      </c>
      <c r="C8" s="81">
        <f>COUNTIF('🎯 RACI Matrix'!T8:T59,"⚠ No R")</f>
        <v>5</v>
      </c>
      <c r="D8" s="82" t="str">
        <f>IF(C8=0,"✅ GOOD","🚨 FIX NOW")</f>
        <v>🚨 FIX NOW</v>
      </c>
      <c r="E8" s="83" t="s">
        <v>333</v>
      </c>
      <c r="F8" s="83"/>
      <c r="G8" s="83"/>
      <c r="H8" s="83"/>
    </row>
    <row r="9" spans="2:8" ht="6.6" customHeight="1" x14ac:dyDescent="0.25"/>
    <row r="10" spans="2:8" ht="19.5" customHeight="1" x14ac:dyDescent="0.25">
      <c r="B10" s="5" t="s">
        <v>334</v>
      </c>
      <c r="C10" s="5"/>
      <c r="D10" s="5"/>
      <c r="E10" s="5"/>
      <c r="F10" s="5"/>
      <c r="G10" s="5"/>
      <c r="H10" s="5"/>
    </row>
    <row r="11" spans="2:8" ht="18" customHeight="1" x14ac:dyDescent="0.25">
      <c r="B11" s="84" t="s">
        <v>335</v>
      </c>
      <c r="C11" s="85">
        <f>59-8+1</f>
        <v>52</v>
      </c>
    </row>
    <row r="12" spans="2:8" ht="18" customHeight="1" x14ac:dyDescent="0.25">
      <c r="B12" s="84" t="s">
        <v>336</v>
      </c>
      <c r="C12" s="85">
        <f>COUNTIF('🎯 RACI Matrix'!T8:T59,"✅ OK")</f>
        <v>38</v>
      </c>
    </row>
    <row r="13" spans="2:8" ht="18" customHeight="1" x14ac:dyDescent="0.25">
      <c r="B13" s="84" t="s">
        <v>337</v>
      </c>
      <c r="C13" s="86">
        <f>IFERROR(C12/52,0)</f>
        <v>0.73076923076923073</v>
      </c>
    </row>
    <row r="14" spans="2:8" ht="6.6" customHeight="1" x14ac:dyDescent="0.25"/>
    <row r="15" spans="2:8" ht="19.5" customHeight="1" x14ac:dyDescent="0.25">
      <c r="B15" s="5" t="s">
        <v>338</v>
      </c>
      <c r="C15" s="5"/>
      <c r="D15" s="5"/>
      <c r="E15" s="5"/>
      <c r="F15" s="5"/>
      <c r="G15" s="5"/>
      <c r="H15" s="5"/>
    </row>
    <row r="16" spans="2:8" ht="19.5" customHeight="1" x14ac:dyDescent="0.25">
      <c r="B16" s="87" t="s">
        <v>339</v>
      </c>
      <c r="C16" s="87" t="s">
        <v>340</v>
      </c>
      <c r="D16" s="87" t="s">
        <v>341</v>
      </c>
      <c r="E16" s="87" t="s">
        <v>342</v>
      </c>
      <c r="F16" s="87" t="s">
        <v>343</v>
      </c>
      <c r="G16" s="87" t="s">
        <v>344</v>
      </c>
      <c r="H16" s="87" t="s">
        <v>345</v>
      </c>
    </row>
    <row r="17" spans="2:8" ht="15.75" customHeight="1" x14ac:dyDescent="0.25">
      <c r="B17" s="88" t="s">
        <v>160</v>
      </c>
      <c r="C17" s="89">
        <f>COUNTIF('🎯 RACI Matrix'!F8:F59,"R")</f>
        <v>0</v>
      </c>
      <c r="D17" s="89">
        <f>COUNTIF('🎯 RACI Matrix'!F8:F59,"A")</f>
        <v>12</v>
      </c>
      <c r="E17" s="89">
        <f>COUNTIF('🎯 RACI Matrix'!F8:F59,"C")</f>
        <v>0</v>
      </c>
      <c r="F17" s="89">
        <f>COUNTIF('🎯 RACI Matrix'!F8:F59,"I")</f>
        <v>32</v>
      </c>
      <c r="G17" s="89">
        <f t="shared" ref="G17:G29" si="0">C17+D17+E17+F17</f>
        <v>44</v>
      </c>
      <c r="H17" s="89" t="str">
        <f t="shared" ref="H17:H29" si="1">IF(E17&gt;8,"⚠ Over-consulted",IF(C17+D17=0,"⚠ No R/A","✅ OK"))</f>
        <v>✅ OK</v>
      </c>
    </row>
    <row r="18" spans="2:8" ht="15.75" customHeight="1" x14ac:dyDescent="0.25">
      <c r="B18" s="90" t="s">
        <v>72</v>
      </c>
      <c r="C18" s="91">
        <f>COUNTIF('🎯 RACI Matrix'!G8:G59,"R")</f>
        <v>15</v>
      </c>
      <c r="D18" s="91">
        <f>COUNTIF('🎯 RACI Matrix'!G8:G59,"A")</f>
        <v>7</v>
      </c>
      <c r="E18" s="91">
        <f>COUNTIF('🎯 RACI Matrix'!G8:G59,"C")</f>
        <v>22</v>
      </c>
      <c r="F18" s="91">
        <f>COUNTIF('🎯 RACI Matrix'!G8:G59,"I")</f>
        <v>0</v>
      </c>
      <c r="G18" s="91">
        <f t="shared" si="0"/>
        <v>44</v>
      </c>
      <c r="H18" s="91" t="str">
        <f t="shared" si="1"/>
        <v>⚠ Over-consulted</v>
      </c>
    </row>
    <row r="19" spans="2:8" ht="15.75" customHeight="1" x14ac:dyDescent="0.25">
      <c r="B19" s="88" t="s">
        <v>346</v>
      </c>
      <c r="C19" s="89">
        <f>COUNTIF('🎯 RACI Matrix'!H8:H59,"R")</f>
        <v>15</v>
      </c>
      <c r="D19" s="89">
        <f>COUNTIF('🎯 RACI Matrix'!H8:H59,"A")</f>
        <v>5</v>
      </c>
      <c r="E19" s="89">
        <f>COUNTIF('🎯 RACI Matrix'!H8:H59,"C")</f>
        <v>20</v>
      </c>
      <c r="F19" s="89">
        <f>COUNTIF('🎯 RACI Matrix'!H8:H59,"I")</f>
        <v>0</v>
      </c>
      <c r="G19" s="89">
        <f t="shared" si="0"/>
        <v>40</v>
      </c>
      <c r="H19" s="89" t="str">
        <f t="shared" si="1"/>
        <v>⚠ Over-consulted</v>
      </c>
    </row>
    <row r="20" spans="2:8" ht="15.75" customHeight="1" x14ac:dyDescent="0.25">
      <c r="B20" s="90" t="s">
        <v>84</v>
      </c>
      <c r="C20" s="91">
        <f>COUNTIF('🎯 RACI Matrix'!I8:I59,"R")</f>
        <v>5</v>
      </c>
      <c r="D20" s="91">
        <f>COUNTIF('🎯 RACI Matrix'!I8:I59,"A")</f>
        <v>1</v>
      </c>
      <c r="E20" s="91">
        <f>COUNTIF('🎯 RACI Matrix'!I8:I59,"C")</f>
        <v>30</v>
      </c>
      <c r="F20" s="91">
        <f>COUNTIF('🎯 RACI Matrix'!I8:I59,"I")</f>
        <v>0</v>
      </c>
      <c r="G20" s="91">
        <f t="shared" si="0"/>
        <v>36</v>
      </c>
      <c r="H20" s="91" t="str">
        <f t="shared" si="1"/>
        <v>⚠ Over-consulted</v>
      </c>
    </row>
    <row r="21" spans="2:8" ht="15.75" customHeight="1" x14ac:dyDescent="0.25">
      <c r="B21" s="88" t="s">
        <v>347</v>
      </c>
      <c r="C21" s="89">
        <f>COUNTIF('🎯 RACI Matrix'!J8:J59,"R")</f>
        <v>6</v>
      </c>
      <c r="D21" s="89">
        <f>COUNTIF('🎯 RACI Matrix'!J8:J59,"A")</f>
        <v>3</v>
      </c>
      <c r="E21" s="89">
        <f>COUNTIF('🎯 RACI Matrix'!J8:J59,"C")</f>
        <v>22</v>
      </c>
      <c r="F21" s="89">
        <f>COUNTIF('🎯 RACI Matrix'!J8:J59,"I")</f>
        <v>0</v>
      </c>
      <c r="G21" s="89">
        <f t="shared" si="0"/>
        <v>31</v>
      </c>
      <c r="H21" s="89" t="str">
        <f t="shared" si="1"/>
        <v>⚠ Over-consulted</v>
      </c>
    </row>
    <row r="22" spans="2:8" ht="15.75" customHeight="1" x14ac:dyDescent="0.25">
      <c r="B22" s="90" t="s">
        <v>348</v>
      </c>
      <c r="C22" s="91">
        <f>COUNTIF('🎯 RACI Matrix'!K8:K59,"R")</f>
        <v>1</v>
      </c>
      <c r="D22" s="91">
        <f>COUNTIF('🎯 RACI Matrix'!K8:K59,"A")</f>
        <v>6</v>
      </c>
      <c r="E22" s="91">
        <f>COUNTIF('🎯 RACI Matrix'!K8:K59,"C")</f>
        <v>16</v>
      </c>
      <c r="F22" s="91">
        <f>COUNTIF('🎯 RACI Matrix'!K8:K59,"I")</f>
        <v>0</v>
      </c>
      <c r="G22" s="91">
        <f t="shared" si="0"/>
        <v>23</v>
      </c>
      <c r="H22" s="91" t="str">
        <f t="shared" si="1"/>
        <v>⚠ Over-consulted</v>
      </c>
    </row>
    <row r="23" spans="2:8" ht="15.75" customHeight="1" x14ac:dyDescent="0.25">
      <c r="B23" s="88" t="s">
        <v>349</v>
      </c>
      <c r="C23" s="89">
        <f>COUNTIF('🎯 RACI Matrix'!L8:L59,"R")</f>
        <v>2</v>
      </c>
      <c r="D23" s="89">
        <f>COUNTIF('🎯 RACI Matrix'!L8:L59,"A")</f>
        <v>3</v>
      </c>
      <c r="E23" s="89">
        <f>COUNTIF('🎯 RACI Matrix'!L8:L59,"C")</f>
        <v>12</v>
      </c>
      <c r="F23" s="89">
        <f>COUNTIF('🎯 RACI Matrix'!L8:L59,"I")</f>
        <v>0</v>
      </c>
      <c r="G23" s="89">
        <f t="shared" si="0"/>
        <v>17</v>
      </c>
      <c r="H23" s="89" t="str">
        <f t="shared" si="1"/>
        <v>⚠ Over-consulted</v>
      </c>
    </row>
    <row r="24" spans="2:8" ht="15.75" customHeight="1" x14ac:dyDescent="0.25">
      <c r="B24" s="90" t="s">
        <v>167</v>
      </c>
      <c r="C24" s="91">
        <f>COUNTIF('🎯 RACI Matrix'!M8:M59,"R")</f>
        <v>0</v>
      </c>
      <c r="D24" s="91">
        <f>COUNTIF('🎯 RACI Matrix'!M8:M59,"A")</f>
        <v>3</v>
      </c>
      <c r="E24" s="91">
        <f>COUNTIF('🎯 RACI Matrix'!M8:M59,"C")</f>
        <v>15</v>
      </c>
      <c r="F24" s="91">
        <f>COUNTIF('🎯 RACI Matrix'!M8:M59,"I")</f>
        <v>0</v>
      </c>
      <c r="G24" s="91">
        <f t="shared" si="0"/>
        <v>18</v>
      </c>
      <c r="H24" s="91" t="str">
        <f t="shared" si="1"/>
        <v>⚠ Over-consulted</v>
      </c>
    </row>
    <row r="25" spans="2:8" ht="15.75" customHeight="1" x14ac:dyDescent="0.25">
      <c r="B25" s="88" t="s">
        <v>350</v>
      </c>
      <c r="C25" s="89">
        <f>COUNTIF('🎯 RACI Matrix'!N8:N59,"R")</f>
        <v>24</v>
      </c>
      <c r="D25" s="89">
        <f>COUNTIF('🎯 RACI Matrix'!N8:N59,"A")</f>
        <v>2</v>
      </c>
      <c r="E25" s="89">
        <f>COUNTIF('🎯 RACI Matrix'!N8:N59,"C")</f>
        <v>3</v>
      </c>
      <c r="F25" s="89">
        <f>COUNTIF('🎯 RACI Matrix'!N8:N59,"I")</f>
        <v>15</v>
      </c>
      <c r="G25" s="89">
        <f t="shared" si="0"/>
        <v>44</v>
      </c>
      <c r="H25" s="89" t="str">
        <f t="shared" si="1"/>
        <v>✅ OK</v>
      </c>
    </row>
    <row r="26" spans="2:8" ht="15.75" customHeight="1" x14ac:dyDescent="0.25">
      <c r="B26" s="90" t="s">
        <v>351</v>
      </c>
      <c r="C26" s="91">
        <f>COUNTIF('🎯 RACI Matrix'!O8:O59,"R")</f>
        <v>22</v>
      </c>
      <c r="D26" s="91">
        <f>COUNTIF('🎯 RACI Matrix'!O8:O59,"A")</f>
        <v>0</v>
      </c>
      <c r="E26" s="91">
        <f>COUNTIF('🎯 RACI Matrix'!O8:O59,"C")</f>
        <v>0</v>
      </c>
      <c r="F26" s="91">
        <f>COUNTIF('🎯 RACI Matrix'!O8:O59,"I")</f>
        <v>2</v>
      </c>
      <c r="G26" s="91">
        <f t="shared" si="0"/>
        <v>24</v>
      </c>
      <c r="H26" s="91" t="str">
        <f t="shared" si="1"/>
        <v>✅ OK</v>
      </c>
    </row>
    <row r="27" spans="2:8" ht="15.75" customHeight="1" x14ac:dyDescent="0.25">
      <c r="B27" s="88" t="s">
        <v>352</v>
      </c>
      <c r="C27" s="89">
        <f>COUNTIF('🎯 RACI Matrix'!P8:P59,"R")</f>
        <v>0</v>
      </c>
      <c r="D27" s="89">
        <f>COUNTIF('🎯 RACI Matrix'!P8:P59,"A")</f>
        <v>0</v>
      </c>
      <c r="E27" s="89">
        <f>COUNTIF('🎯 RACI Matrix'!P8:P59,"C")</f>
        <v>9</v>
      </c>
      <c r="F27" s="89">
        <f>COUNTIF('🎯 RACI Matrix'!P8:P59,"I")</f>
        <v>0</v>
      </c>
      <c r="G27" s="89">
        <f t="shared" si="0"/>
        <v>9</v>
      </c>
      <c r="H27" s="89" t="str">
        <f t="shared" si="1"/>
        <v>⚠ Over-consulted</v>
      </c>
    </row>
    <row r="28" spans="2:8" ht="15.75" customHeight="1" x14ac:dyDescent="0.25">
      <c r="B28" s="90" t="s">
        <v>353</v>
      </c>
      <c r="C28" s="91">
        <f>COUNTIF('🎯 RACI Matrix'!Q8:Q59,"R")</f>
        <v>0</v>
      </c>
      <c r="D28" s="91">
        <f>COUNTIF('🎯 RACI Matrix'!Q8:Q59,"A")</f>
        <v>1</v>
      </c>
      <c r="E28" s="91">
        <f>COUNTIF('🎯 RACI Matrix'!Q8:Q59,"C")</f>
        <v>9</v>
      </c>
      <c r="F28" s="91">
        <f>COUNTIF('🎯 RACI Matrix'!Q8:Q59,"I")</f>
        <v>1</v>
      </c>
      <c r="G28" s="91">
        <f t="shared" si="0"/>
        <v>11</v>
      </c>
      <c r="H28" s="91" t="str">
        <f t="shared" si="1"/>
        <v>⚠ Over-consulted</v>
      </c>
    </row>
    <row r="29" spans="2:8" ht="15.75" customHeight="1" x14ac:dyDescent="0.25">
      <c r="B29" s="88" t="s">
        <v>354</v>
      </c>
      <c r="C29" s="89">
        <f>COUNTIF('🎯 RACI Matrix'!R8:R59,"R")</f>
        <v>0</v>
      </c>
      <c r="D29" s="89">
        <f>COUNTIF('🎯 RACI Matrix'!R8:R59,"A")</f>
        <v>0</v>
      </c>
      <c r="E29" s="89">
        <f>COUNTIF('🎯 RACI Matrix'!R8:R59,"C")</f>
        <v>5</v>
      </c>
      <c r="F29" s="89">
        <f>COUNTIF('🎯 RACI Matrix'!R8:R59,"I")</f>
        <v>39</v>
      </c>
      <c r="G29" s="89">
        <f t="shared" si="0"/>
        <v>44</v>
      </c>
      <c r="H29" s="89" t="str">
        <f t="shared" si="1"/>
        <v>⚠ No R/A</v>
      </c>
    </row>
    <row r="30" spans="2:8" ht="6.6" customHeight="1" x14ac:dyDescent="0.25"/>
    <row r="31" spans="2:8" ht="19.5" customHeight="1" x14ac:dyDescent="0.25">
      <c r="B31" s="5" t="s">
        <v>355</v>
      </c>
      <c r="C31" s="5"/>
      <c r="D31" s="5"/>
      <c r="E31" s="5"/>
      <c r="F31" s="5"/>
      <c r="G31" s="5"/>
      <c r="H31" s="5"/>
    </row>
    <row r="32" spans="2:8" ht="18" customHeight="1" x14ac:dyDescent="0.25">
      <c r="B32" s="24" t="s">
        <v>356</v>
      </c>
      <c r="C32" s="24" t="s">
        <v>357</v>
      </c>
      <c r="D32" s="24" t="s">
        <v>358</v>
      </c>
      <c r="E32" s="24" t="s">
        <v>359</v>
      </c>
      <c r="F32" s="24" t="s">
        <v>360</v>
      </c>
      <c r="G32" s="24" t="s">
        <v>361</v>
      </c>
      <c r="H32" s="24" t="s">
        <v>362</v>
      </c>
    </row>
    <row r="33" spans="2:8" ht="22.8" x14ac:dyDescent="0.25">
      <c r="B33" s="42" t="s">
        <v>363</v>
      </c>
      <c r="C33" s="44" t="s">
        <v>364</v>
      </c>
      <c r="D33" s="44" t="s">
        <v>365</v>
      </c>
      <c r="E33" s="44" t="s">
        <v>366</v>
      </c>
      <c r="F33" s="44" t="s">
        <v>367</v>
      </c>
      <c r="G33" s="44"/>
      <c r="H33" s="44"/>
    </row>
    <row r="34" spans="2:8" ht="24" customHeight="1" x14ac:dyDescent="0.25">
      <c r="B34" s="92" t="s">
        <v>368</v>
      </c>
      <c r="C34" s="93" t="s">
        <v>369</v>
      </c>
      <c r="D34" s="93" t="s">
        <v>370</v>
      </c>
      <c r="E34" s="93" t="s">
        <v>371</v>
      </c>
      <c r="F34" s="93" t="s">
        <v>367</v>
      </c>
      <c r="G34" s="93"/>
      <c r="H34" s="93"/>
    </row>
    <row r="35" spans="2:8" ht="22.8" x14ac:dyDescent="0.25">
      <c r="B35" s="42" t="s">
        <v>372</v>
      </c>
      <c r="C35" s="44" t="s">
        <v>373</v>
      </c>
      <c r="D35" s="44" t="s">
        <v>374</v>
      </c>
      <c r="E35" s="44" t="s">
        <v>375</v>
      </c>
      <c r="F35" s="44" t="s">
        <v>367</v>
      </c>
      <c r="G35" s="44"/>
      <c r="H35" s="44"/>
    </row>
    <row r="36" spans="2:8" ht="24" customHeight="1" x14ac:dyDescent="0.25">
      <c r="B36" s="92" t="s">
        <v>376</v>
      </c>
      <c r="C36" s="93" t="s">
        <v>377</v>
      </c>
      <c r="D36" s="93" t="s">
        <v>378</v>
      </c>
      <c r="E36" s="93" t="s">
        <v>379</v>
      </c>
      <c r="F36" s="93" t="s">
        <v>367</v>
      </c>
      <c r="G36" s="93"/>
      <c r="H36" s="93"/>
    </row>
    <row r="37" spans="2:8" ht="22.8" x14ac:dyDescent="0.25">
      <c r="B37" s="42" t="s">
        <v>380</v>
      </c>
      <c r="C37" s="44" t="s">
        <v>381</v>
      </c>
      <c r="D37" s="44" t="s">
        <v>382</v>
      </c>
      <c r="E37" s="44" t="s">
        <v>383</v>
      </c>
      <c r="F37" s="44" t="s">
        <v>367</v>
      </c>
      <c r="G37" s="44"/>
      <c r="H37" s="44"/>
    </row>
    <row r="38" spans="2:8" ht="24" customHeight="1" x14ac:dyDescent="0.25">
      <c r="B38" s="92" t="s">
        <v>384</v>
      </c>
      <c r="C38" s="93" t="s">
        <v>385</v>
      </c>
      <c r="D38" s="93" t="s">
        <v>386</v>
      </c>
      <c r="E38" s="93" t="s">
        <v>387</v>
      </c>
      <c r="F38" s="93" t="s">
        <v>367</v>
      </c>
      <c r="G38" s="93"/>
      <c r="H38" s="93"/>
    </row>
    <row r="39" spans="2:8" ht="6.6" customHeight="1" x14ac:dyDescent="0.25"/>
  </sheetData>
  <mergeCells count="8">
    <mergeCell ref="B10:H10"/>
    <mergeCell ref="B15:H15"/>
    <mergeCell ref="B31:H31"/>
    <mergeCell ref="B1:H3"/>
    <mergeCell ref="B5:H5"/>
    <mergeCell ref="E6:H6"/>
    <mergeCell ref="E7:H7"/>
    <mergeCell ref="E8:H8"/>
  </mergeCells>
  <dataValidations count="1">
    <dataValidation type="list" allowBlank="1" sqref="F33:F38" xr:uid="{00000000-0002-0000-0300-000000000000}">
      <formula1>"✅ Complete,🔴 Blocked,🟡 In Progress,⬜ Not Started"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L79"/>
  <sheetViews>
    <sheetView showGridLines="0" tabSelected="1" zoomScaleNormal="100" workbookViewId="0">
      <pane ySplit="4" topLeftCell="A5" activePane="bottomLeft" state="frozen"/>
      <selection pane="bottomLeft" activeCell="G12" sqref="G12"/>
    </sheetView>
  </sheetViews>
  <sheetFormatPr defaultColWidth="7.77734375" defaultRowHeight="13.8" x14ac:dyDescent="0.25"/>
  <cols>
    <col min="1" max="1" width="11" style="3" bestFit="1" customWidth="1"/>
    <col min="2" max="2" width="9.44140625" style="3" bestFit="1" customWidth="1"/>
    <col min="3" max="3" width="12.21875" style="3" bestFit="1" customWidth="1"/>
    <col min="4" max="4" width="15.5546875" style="3" bestFit="1" customWidth="1"/>
    <col min="5" max="5" width="19.6640625" style="3" bestFit="1" customWidth="1"/>
    <col min="6" max="6" width="23.88671875" style="3" bestFit="1" customWidth="1"/>
    <col min="7" max="7" width="16.5546875" style="3" bestFit="1" customWidth="1"/>
    <col min="8" max="8" width="22.77734375" style="3" bestFit="1" customWidth="1"/>
    <col min="9" max="9" width="18.88671875" style="3" bestFit="1" customWidth="1"/>
    <col min="10" max="10" width="24.33203125" style="3" bestFit="1" customWidth="1"/>
    <col min="11" max="11" width="16.6640625" style="3" bestFit="1" customWidth="1"/>
    <col min="12" max="12" width="22.33203125" style="3" bestFit="1" customWidth="1"/>
    <col min="13" max="16384" width="7.77734375" style="3"/>
  </cols>
  <sheetData>
    <row r="1" spans="1:12" ht="9.75" customHeight="1" x14ac:dyDescent="0.25">
      <c r="A1" s="94" t="s">
        <v>388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2" ht="19.5" customHeight="1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2" ht="9.75" customHeight="1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2" ht="35.4" customHeight="1" x14ac:dyDescent="0.25">
      <c r="A4" s="24" t="s">
        <v>389</v>
      </c>
      <c r="B4" s="24" t="s">
        <v>362</v>
      </c>
      <c r="C4" s="24" t="s">
        <v>390</v>
      </c>
      <c r="D4" s="24" t="s">
        <v>391</v>
      </c>
      <c r="E4" s="24" t="s">
        <v>392</v>
      </c>
      <c r="F4" s="24" t="s">
        <v>393</v>
      </c>
      <c r="G4" s="24" t="s">
        <v>394</v>
      </c>
      <c r="H4" s="24" t="s">
        <v>395</v>
      </c>
      <c r="I4" s="24" t="s">
        <v>396</v>
      </c>
      <c r="J4" s="24" t="s">
        <v>397</v>
      </c>
      <c r="K4" s="24" t="s">
        <v>398</v>
      </c>
      <c r="L4" s="24" t="s">
        <v>399</v>
      </c>
    </row>
    <row r="5" spans="1:12" ht="48" customHeight="1" x14ac:dyDescent="0.25">
      <c r="A5" s="44" t="s">
        <v>400</v>
      </c>
      <c r="B5" s="44" t="s">
        <v>401</v>
      </c>
      <c r="C5" s="44" t="s">
        <v>402</v>
      </c>
      <c r="D5" s="44" t="s">
        <v>71</v>
      </c>
      <c r="E5" s="103">
        <v>1.3</v>
      </c>
      <c r="F5" s="44" t="s">
        <v>348</v>
      </c>
      <c r="G5" s="44" t="s">
        <v>403</v>
      </c>
      <c r="H5" s="44" t="s">
        <v>404</v>
      </c>
      <c r="I5" s="44" t="s">
        <v>13</v>
      </c>
      <c r="J5" s="44" t="s">
        <v>405</v>
      </c>
      <c r="K5" s="44" t="s">
        <v>64</v>
      </c>
      <c r="L5" s="44" t="s">
        <v>406</v>
      </c>
    </row>
    <row r="6" spans="1:12" ht="48" customHeight="1" x14ac:dyDescent="0.25">
      <c r="A6" s="93" t="s">
        <v>407</v>
      </c>
      <c r="B6" s="93" t="s">
        <v>408</v>
      </c>
      <c r="C6" s="93" t="s">
        <v>402</v>
      </c>
      <c r="D6" s="93" t="s">
        <v>71</v>
      </c>
      <c r="E6" s="104">
        <v>5.5</v>
      </c>
      <c r="F6" s="93" t="s">
        <v>353</v>
      </c>
      <c r="G6" s="93" t="s">
        <v>409</v>
      </c>
      <c r="H6" s="93" t="s">
        <v>19</v>
      </c>
      <c r="I6" s="93" t="s">
        <v>13</v>
      </c>
      <c r="J6" s="93" t="s">
        <v>410</v>
      </c>
      <c r="K6" s="93" t="s">
        <v>64</v>
      </c>
      <c r="L6" s="93" t="s">
        <v>411</v>
      </c>
    </row>
    <row r="7" spans="1:12" ht="48" customHeight="1" x14ac:dyDescent="0.25">
      <c r="A7" s="44" t="s">
        <v>412</v>
      </c>
      <c r="B7" s="44" t="s">
        <v>413</v>
      </c>
      <c r="C7" s="44" t="s">
        <v>402</v>
      </c>
      <c r="D7" s="44" t="s">
        <v>64</v>
      </c>
      <c r="E7" s="103">
        <v>7.1</v>
      </c>
      <c r="F7" s="44" t="s">
        <v>354</v>
      </c>
      <c r="G7" s="44" t="s">
        <v>409</v>
      </c>
      <c r="H7" s="44" t="s">
        <v>13</v>
      </c>
      <c r="I7" s="44" t="s">
        <v>16</v>
      </c>
      <c r="J7" s="44" t="s">
        <v>414</v>
      </c>
      <c r="K7" s="44" t="s">
        <v>71</v>
      </c>
      <c r="L7" s="44" t="s">
        <v>415</v>
      </c>
    </row>
    <row r="8" spans="1:12" ht="21.75" customHeight="1" x14ac:dyDescent="0.25">
      <c r="A8" s="95" t="str">
        <f t="shared" ref="A8:A39" si="0">IF(B8&lt;&gt;"","CL-"&amp;TEXT(ROW()-4,"000"),"")</f>
        <v/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</row>
    <row r="9" spans="1:12" ht="21.75" customHeight="1" x14ac:dyDescent="0.25">
      <c r="A9" s="96" t="str">
        <f t="shared" si="0"/>
        <v/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</row>
    <row r="10" spans="1:12" ht="18" customHeight="1" x14ac:dyDescent="0.25">
      <c r="A10" s="95" t="str">
        <f t="shared" si="0"/>
        <v/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</row>
    <row r="11" spans="1:12" ht="18" customHeight="1" x14ac:dyDescent="0.25">
      <c r="A11" s="95" t="str">
        <f t="shared" si="0"/>
        <v/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</row>
    <row r="12" spans="1:12" ht="18" customHeight="1" x14ac:dyDescent="0.25">
      <c r="A12" s="95" t="str">
        <f t="shared" si="0"/>
        <v/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</row>
    <row r="13" spans="1:12" ht="18" customHeight="1" x14ac:dyDescent="0.25">
      <c r="A13" s="95" t="str">
        <f t="shared" si="0"/>
        <v/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</row>
    <row r="14" spans="1:12" ht="18" customHeight="1" x14ac:dyDescent="0.25">
      <c r="A14" s="95" t="str">
        <f t="shared" si="0"/>
        <v/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</row>
    <row r="15" spans="1:12" ht="18" customHeight="1" x14ac:dyDescent="0.25">
      <c r="A15" s="95" t="str">
        <f t="shared" si="0"/>
        <v/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</row>
    <row r="16" spans="1:12" ht="18" customHeight="1" x14ac:dyDescent="0.25">
      <c r="A16" s="95" t="str">
        <f t="shared" si="0"/>
        <v/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</row>
    <row r="17" spans="1:12" ht="18" customHeight="1" x14ac:dyDescent="0.25">
      <c r="A17" s="95" t="str">
        <f t="shared" si="0"/>
        <v/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</row>
    <row r="18" spans="1:12" ht="18" customHeight="1" x14ac:dyDescent="0.25">
      <c r="A18" s="95" t="str">
        <f t="shared" si="0"/>
        <v/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</row>
    <row r="19" spans="1:12" ht="18" customHeight="1" x14ac:dyDescent="0.25">
      <c r="A19" s="95" t="str">
        <f t="shared" si="0"/>
        <v/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</row>
    <row r="20" spans="1:12" ht="18" customHeight="1" x14ac:dyDescent="0.25">
      <c r="A20" s="95" t="str">
        <f t="shared" si="0"/>
        <v/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</row>
    <row r="21" spans="1:12" ht="18" customHeight="1" x14ac:dyDescent="0.25">
      <c r="A21" s="95" t="str">
        <f t="shared" si="0"/>
        <v/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</row>
    <row r="22" spans="1:12" ht="18" customHeight="1" x14ac:dyDescent="0.25">
      <c r="A22" s="95" t="str">
        <f t="shared" si="0"/>
        <v/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</row>
    <row r="23" spans="1:12" ht="18" customHeight="1" x14ac:dyDescent="0.25">
      <c r="A23" s="95" t="str">
        <f t="shared" si="0"/>
        <v/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</row>
    <row r="24" spans="1:12" ht="18" customHeight="1" x14ac:dyDescent="0.25">
      <c r="A24" s="95" t="str">
        <f t="shared" si="0"/>
        <v/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</row>
    <row r="25" spans="1:12" ht="18" customHeight="1" x14ac:dyDescent="0.25">
      <c r="A25" s="95" t="str">
        <f t="shared" si="0"/>
        <v/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</row>
    <row r="26" spans="1:12" ht="18" customHeight="1" x14ac:dyDescent="0.25">
      <c r="A26" s="95" t="str">
        <f t="shared" si="0"/>
        <v/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</row>
    <row r="27" spans="1:12" ht="18" customHeight="1" x14ac:dyDescent="0.25">
      <c r="A27" s="95" t="str">
        <f t="shared" si="0"/>
        <v/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</row>
    <row r="28" spans="1:12" ht="18" customHeight="1" x14ac:dyDescent="0.25">
      <c r="A28" s="95" t="str">
        <f t="shared" si="0"/>
        <v/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</row>
    <row r="29" spans="1:12" ht="18" customHeight="1" x14ac:dyDescent="0.25">
      <c r="A29" s="95" t="str">
        <f t="shared" si="0"/>
        <v/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</row>
    <row r="30" spans="1:12" ht="18" customHeight="1" x14ac:dyDescent="0.25">
      <c r="A30" s="95" t="str">
        <f t="shared" si="0"/>
        <v/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</row>
    <row r="31" spans="1:12" ht="18" customHeight="1" x14ac:dyDescent="0.25">
      <c r="A31" s="95" t="str">
        <f t="shared" si="0"/>
        <v/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</row>
    <row r="32" spans="1:12" ht="18" customHeight="1" x14ac:dyDescent="0.25">
      <c r="A32" s="95" t="str">
        <f t="shared" si="0"/>
        <v/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</row>
    <row r="33" spans="1:12" ht="18" customHeight="1" x14ac:dyDescent="0.25">
      <c r="A33" s="95" t="str">
        <f t="shared" si="0"/>
        <v/>
      </c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</row>
    <row r="34" spans="1:12" ht="18" customHeight="1" x14ac:dyDescent="0.25">
      <c r="A34" s="95" t="str">
        <f t="shared" si="0"/>
        <v/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</row>
    <row r="35" spans="1:12" ht="18" customHeight="1" x14ac:dyDescent="0.25">
      <c r="A35" s="95" t="str">
        <f t="shared" si="0"/>
        <v/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</row>
    <row r="36" spans="1:12" ht="18" customHeight="1" x14ac:dyDescent="0.25">
      <c r="A36" s="95" t="str">
        <f t="shared" si="0"/>
        <v/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</row>
    <row r="37" spans="1:12" ht="18" customHeight="1" x14ac:dyDescent="0.25">
      <c r="A37" s="95" t="str">
        <f t="shared" si="0"/>
        <v/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</row>
    <row r="38" spans="1:12" ht="18" customHeight="1" x14ac:dyDescent="0.25">
      <c r="A38" s="95" t="str">
        <f t="shared" si="0"/>
        <v/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</row>
    <row r="39" spans="1:12" ht="18" customHeight="1" x14ac:dyDescent="0.25">
      <c r="A39" s="95" t="str">
        <f t="shared" si="0"/>
        <v/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</row>
    <row r="40" spans="1:12" ht="18" customHeight="1" x14ac:dyDescent="0.25">
      <c r="A40" s="95" t="str">
        <f t="shared" ref="A40:A71" si="1">IF(B40&lt;&gt;"","CL-"&amp;TEXT(ROW()-4,"000"),"")</f>
        <v/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</row>
    <row r="41" spans="1:12" ht="18" customHeight="1" x14ac:dyDescent="0.25">
      <c r="A41" s="95" t="str">
        <f t="shared" si="1"/>
        <v/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</row>
    <row r="42" spans="1:12" ht="18" customHeight="1" x14ac:dyDescent="0.25">
      <c r="A42" s="95" t="str">
        <f t="shared" si="1"/>
        <v/>
      </c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</row>
    <row r="43" spans="1:12" ht="18" customHeight="1" x14ac:dyDescent="0.25">
      <c r="A43" s="95" t="str">
        <f t="shared" si="1"/>
        <v/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</row>
    <row r="44" spans="1:12" ht="18" customHeight="1" x14ac:dyDescent="0.25">
      <c r="A44" s="95" t="str">
        <f t="shared" si="1"/>
        <v/>
      </c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</row>
    <row r="45" spans="1:12" ht="18" customHeight="1" x14ac:dyDescent="0.25">
      <c r="A45" s="95" t="str">
        <f t="shared" si="1"/>
        <v/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</row>
    <row r="46" spans="1:12" ht="18" customHeight="1" x14ac:dyDescent="0.25">
      <c r="A46" s="95" t="str">
        <f t="shared" si="1"/>
        <v/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</row>
    <row r="47" spans="1:12" ht="18" customHeight="1" x14ac:dyDescent="0.25">
      <c r="A47" s="95" t="str">
        <f t="shared" si="1"/>
        <v/>
      </c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</row>
    <row r="48" spans="1:12" ht="18" customHeight="1" x14ac:dyDescent="0.25">
      <c r="A48" s="95" t="str">
        <f t="shared" si="1"/>
        <v/>
      </c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</row>
    <row r="49" spans="1:12" ht="18" customHeight="1" x14ac:dyDescent="0.25">
      <c r="A49" s="95" t="str">
        <f t="shared" si="1"/>
        <v/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</row>
    <row r="50" spans="1:12" ht="18" customHeight="1" x14ac:dyDescent="0.25">
      <c r="A50" s="95" t="str">
        <f t="shared" si="1"/>
        <v/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</row>
    <row r="51" spans="1:12" ht="18" customHeight="1" x14ac:dyDescent="0.25">
      <c r="A51" s="95" t="str">
        <f t="shared" si="1"/>
        <v/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</row>
    <row r="52" spans="1:12" ht="18" customHeight="1" x14ac:dyDescent="0.25">
      <c r="A52" s="95" t="str">
        <f t="shared" si="1"/>
        <v/>
      </c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</row>
    <row r="53" spans="1:12" ht="18" customHeight="1" x14ac:dyDescent="0.25">
      <c r="A53" s="95" t="str">
        <f t="shared" si="1"/>
        <v/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</row>
    <row r="54" spans="1:12" ht="18" customHeight="1" x14ac:dyDescent="0.25">
      <c r="A54" s="95" t="str">
        <f t="shared" si="1"/>
        <v/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</row>
    <row r="55" spans="1:12" ht="18" customHeight="1" x14ac:dyDescent="0.25">
      <c r="A55" s="95" t="str">
        <f t="shared" si="1"/>
        <v/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</row>
    <row r="56" spans="1:12" ht="18" customHeight="1" x14ac:dyDescent="0.25">
      <c r="A56" s="95" t="str">
        <f t="shared" si="1"/>
        <v/>
      </c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</row>
    <row r="57" spans="1:12" ht="18" customHeight="1" x14ac:dyDescent="0.25">
      <c r="A57" s="95" t="str">
        <f t="shared" si="1"/>
        <v/>
      </c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</row>
    <row r="58" spans="1:12" ht="18" customHeight="1" x14ac:dyDescent="0.25">
      <c r="A58" s="95" t="str">
        <f t="shared" si="1"/>
        <v/>
      </c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</row>
    <row r="59" spans="1:12" ht="18" customHeight="1" x14ac:dyDescent="0.25">
      <c r="A59" s="95" t="str">
        <f t="shared" si="1"/>
        <v/>
      </c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</row>
    <row r="60" spans="1:12" ht="18" customHeight="1" x14ac:dyDescent="0.25">
      <c r="A60" s="95" t="str">
        <f t="shared" si="1"/>
        <v/>
      </c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</row>
    <row r="61" spans="1:12" ht="18" customHeight="1" x14ac:dyDescent="0.25">
      <c r="A61" s="95" t="str">
        <f t="shared" si="1"/>
        <v/>
      </c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</row>
    <row r="62" spans="1:12" ht="18" customHeight="1" x14ac:dyDescent="0.25">
      <c r="A62" s="95" t="str">
        <f t="shared" si="1"/>
        <v/>
      </c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</row>
    <row r="63" spans="1:12" ht="18" customHeight="1" x14ac:dyDescent="0.25">
      <c r="A63" s="95" t="str">
        <f t="shared" si="1"/>
        <v/>
      </c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</row>
    <row r="64" spans="1:12" ht="18" customHeight="1" x14ac:dyDescent="0.25">
      <c r="A64" s="95" t="str">
        <f t="shared" si="1"/>
        <v/>
      </c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</row>
    <row r="65" spans="1:12" ht="18" customHeight="1" x14ac:dyDescent="0.25">
      <c r="A65" s="95" t="str">
        <f t="shared" si="1"/>
        <v/>
      </c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</row>
    <row r="66" spans="1:12" ht="18" customHeight="1" x14ac:dyDescent="0.25">
      <c r="A66" s="95" t="str">
        <f t="shared" si="1"/>
        <v/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</row>
    <row r="67" spans="1:12" ht="18" customHeight="1" x14ac:dyDescent="0.25">
      <c r="A67" s="95" t="str">
        <f t="shared" si="1"/>
        <v/>
      </c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</row>
    <row r="68" spans="1:12" ht="18" customHeight="1" x14ac:dyDescent="0.25">
      <c r="A68" s="95" t="str">
        <f t="shared" si="1"/>
        <v/>
      </c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</row>
    <row r="69" spans="1:12" ht="18" customHeight="1" x14ac:dyDescent="0.25">
      <c r="A69" s="95" t="str">
        <f t="shared" si="1"/>
        <v/>
      </c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</row>
    <row r="70" spans="1:12" ht="18" customHeight="1" x14ac:dyDescent="0.25">
      <c r="A70" s="95" t="str">
        <f t="shared" si="1"/>
        <v/>
      </c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</row>
    <row r="71" spans="1:12" ht="18" customHeight="1" x14ac:dyDescent="0.25">
      <c r="A71" s="95" t="str">
        <f t="shared" si="1"/>
        <v/>
      </c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</row>
    <row r="72" spans="1:12" ht="18" customHeight="1" x14ac:dyDescent="0.25">
      <c r="A72" s="95" t="str">
        <f t="shared" ref="A72:A103" si="2">IF(B72&lt;&gt;"","CL-"&amp;TEXT(ROW()-4,"000"),"")</f>
        <v/>
      </c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</row>
    <row r="73" spans="1:12" ht="18" customHeight="1" x14ac:dyDescent="0.25">
      <c r="A73" s="95" t="str">
        <f t="shared" si="2"/>
        <v/>
      </c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</row>
    <row r="74" spans="1:12" ht="18" customHeight="1" x14ac:dyDescent="0.25">
      <c r="A74" s="95" t="str">
        <f t="shared" si="2"/>
        <v/>
      </c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</row>
    <row r="75" spans="1:12" ht="18" customHeight="1" x14ac:dyDescent="0.25">
      <c r="A75" s="95" t="str">
        <f t="shared" si="2"/>
        <v/>
      </c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</row>
    <row r="76" spans="1:12" ht="18" customHeight="1" x14ac:dyDescent="0.25">
      <c r="A76" s="95" t="str">
        <f t="shared" si="2"/>
        <v/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18" customHeight="1" x14ac:dyDescent="0.25">
      <c r="A77" s="95" t="str">
        <f t="shared" si="2"/>
        <v/>
      </c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</row>
    <row r="78" spans="1:12" ht="18" customHeight="1" x14ac:dyDescent="0.25">
      <c r="A78" s="95" t="str">
        <f t="shared" si="2"/>
        <v/>
      </c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</row>
    <row r="79" spans="1:12" ht="18" customHeight="1" x14ac:dyDescent="0.25">
      <c r="A79" s="95" t="str">
        <f t="shared" si="2"/>
        <v/>
      </c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</row>
  </sheetData>
  <mergeCells count="1">
    <mergeCell ref="A1:L3"/>
  </mergeCells>
  <dataValidations count="2">
    <dataValidation type="list" allowBlank="1" sqref="G5:G79" xr:uid="{00000000-0002-0000-0400-000000000000}">
      <formula1>"Role Added,Role Removed,Code Changed,Stakeholder Added,Stakeholder Removed,Task Added,Task Removed,Other"</formula1>
      <formula2>0</formula2>
    </dataValidation>
    <dataValidation type="list" allowBlank="1" sqref="H5:I79" xr:uid="{00000000-0002-0000-0400-000001000000}">
      <formula1>"R,A,C,I,—"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Instructions</vt:lpstr>
      <vt:lpstr>👥 Stakeholders</vt:lpstr>
      <vt:lpstr>🎯 RACI Matrix</vt:lpstr>
      <vt:lpstr>📊 Health Check</vt:lpstr>
      <vt:lpstr>📝 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Latha Lakshmanan</cp:lastModifiedBy>
  <cp:revision>0</cp:revision>
  <dcterms:created xsi:type="dcterms:W3CDTF">2026-05-12T17:22:30Z</dcterms:created>
  <dcterms:modified xsi:type="dcterms:W3CDTF">2026-05-12T17:34:18Z</dcterms:modified>
  <dc:language>en-US</dc:language>
</cp:coreProperties>
</file>